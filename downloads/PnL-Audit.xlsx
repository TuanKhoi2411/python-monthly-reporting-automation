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s" sheetId="1" state="visible" r:id="rId1"/>
    <sheet xmlns:r="http://schemas.openxmlformats.org/officeDocument/2006/relationships" name="BU Overview" sheetId="2" state="visible" r:id="rId2"/>
    <sheet xmlns:r="http://schemas.openxmlformats.org/officeDocument/2006/relationships" name="High GM% Projects" sheetId="3" state="visible" r:id="rId3"/>
    <sheet xmlns:r="http://schemas.openxmlformats.org/officeDocument/2006/relationships" name="Automation Control Checks" sheetId="4" state="visible" r:id="rId4"/>
  </sheets>
  <definedNames>
    <definedName name="_xlnm._FilterDatabase" localSheetId="0" hidden="1">'Graphs'!$A$4:$E$13</definedName>
    <definedName name="_xlnm._FilterDatabase" localSheetId="1" hidden="1">'BU Overview'!$A$4:$N$140</definedName>
    <definedName name="_xlnm.Print_Titles" localSheetId="1">'BU Overview'!$1:$4</definedName>
    <definedName name="_xlnm.Print_Titles" localSheetId="2">'High GM% Projects'!$1:$4</definedName>
    <definedName name="_xlnm._FilterDatabase" localSheetId="3" hidden="1">'Automation Control Checks'!$A$4:$F$8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</font>
    <font>
      <b val="1"/>
      <color rgb="00FFFFFF"/>
    </font>
    <font>
      <sz val="10"/>
    </font>
    <font>
      <color rgb="000563C1"/>
      <u val="single"/>
    </font>
    <font>
      <b val="1"/>
      <sz val="10"/>
    </font>
    <font>
      <b val="1"/>
      <color rgb="009C0006"/>
    </font>
    <font>
      <b val="1"/>
      <color rgb="00217346"/>
    </font>
  </fonts>
  <fills count="1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C3E50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2E75B6"/>
      </patternFill>
    </fill>
    <fill>
      <patternFill patternType="solid">
        <fgColor rgb="001A5276"/>
      </patternFill>
    </fill>
    <fill>
      <patternFill patternType="solid">
        <fgColor rgb="00FFCCCC"/>
      </patternFill>
    </fill>
    <fill>
      <patternFill patternType="solid">
        <fgColor rgb="00F9E79F"/>
      </patternFill>
    </fill>
    <fill>
      <patternFill patternType="solid">
        <fgColor rgb="00D6EAF8"/>
      </patternFill>
    </fill>
    <fill>
      <patternFill patternType="solid">
        <fgColor rgb="00F4CC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top" wrapText="1"/>
    </xf>
    <xf numFmtId="10" fontId="4" fillId="5" borderId="2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center" vertical="top" wrapText="1"/>
    </xf>
    <xf numFmtId="10" fontId="4" fillId="6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center" vertical="top" wrapText="1"/>
    </xf>
    <xf numFmtId="3" fontId="4" fillId="5" borderId="2" applyAlignment="1" pivotButton="0" quotePrefix="0" xfId="0">
      <alignment horizontal="center" vertical="top" wrapText="1"/>
    </xf>
    <xf numFmtId="164" fontId="4" fillId="5" borderId="2" applyAlignment="1" pivotButton="0" quotePrefix="0" xfId="0">
      <alignment horizontal="center" vertical="top" wrapText="1"/>
    </xf>
    <xf numFmtId="0" fontId="5" fillId="6" borderId="2" applyAlignment="1" pivotButton="0" quotePrefix="0" xfId="0">
      <alignment horizontal="center" vertical="top" wrapText="1"/>
    </xf>
    <xf numFmtId="3" fontId="4" fillId="6" borderId="2" applyAlignment="1" pivotButton="0" quotePrefix="0" xfId="0">
      <alignment horizontal="center" vertical="top" wrapText="1"/>
    </xf>
    <xf numFmtId="164" fontId="4" fillId="6" borderId="2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top" wrapText="1"/>
    </xf>
    <xf numFmtId="0" fontId="4" fillId="9" borderId="2" applyAlignment="1" pivotButton="0" quotePrefix="0" xfId="0">
      <alignment horizontal="left" vertical="top" wrapText="1"/>
    </xf>
    <xf numFmtId="164" fontId="4" fillId="9" borderId="2" applyAlignment="1" pivotButton="0" quotePrefix="0" xfId="0">
      <alignment horizontal="center" vertical="top" wrapText="1"/>
    </xf>
    <xf numFmtId="10" fontId="4" fillId="10" borderId="2" applyAlignment="1" pivotButton="0" quotePrefix="0" xfId="0">
      <alignment horizontal="center" vertical="top" wrapText="1"/>
    </xf>
    <xf numFmtId="164" fontId="6" fillId="11" borderId="2" applyAlignment="1" pivotButton="0" quotePrefix="0" xfId="0">
      <alignment horizontal="center" vertical="top" wrapText="1"/>
    </xf>
    <xf numFmtId="10" fontId="6" fillId="11" borderId="2" applyAlignment="1" pivotButton="0" quotePrefix="0" xfId="0">
      <alignment horizontal="center" vertical="top" wrapText="1"/>
    </xf>
    <xf numFmtId="10" fontId="7" fillId="12" borderId="2" applyAlignment="1" pivotButton="0" quotePrefix="0" xfId="0">
      <alignment horizontal="center" vertical="top" wrapText="1"/>
    </xf>
    <xf numFmtId="10" fontId="4" fillId="9" borderId="2" applyAlignment="1" pivotButton="0" quotePrefix="0" xfId="0">
      <alignment horizontal="center" vertical="top" wrapText="1"/>
    </xf>
    <xf numFmtId="0" fontId="4" fillId="13" borderId="2" applyAlignment="1" pivotButton="0" quotePrefix="0" xfId="0">
      <alignment horizontal="left" vertical="top" wrapText="1"/>
    </xf>
    <xf numFmtId="164" fontId="4" fillId="13" borderId="2" applyAlignment="1" pivotButton="0" quotePrefix="0" xfId="0">
      <alignment horizontal="center" vertical="top" wrapText="1"/>
    </xf>
    <xf numFmtId="0" fontId="8" fillId="13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plotArea>
      <layout>
        <manualLayout>
          <wMode val="factor"/>
          <hMode val="factor"/>
          <x val="0.08"/>
          <y val="0.14"/>
          <w val="0.88"/>
          <h val="0.72"/>
        </manualLayout>
      </layout>
      <barChart>
        <barDir val="col"/>
        <grouping val="clustered"/>
        <varyColors val="0"/>
        <ser>
          <idx val="0"/>
          <order val="0"/>
          <tx>
            <v>High GM project rate</v>
          </tx>
          <spPr>
            <a:solidFill xmlns:a="http://schemas.openxmlformats.org/drawingml/2006/main">
              <a:srgbClr val="4F81BD"/>
            </a:solidFill>
            <a:ln xmlns:a="http://schemas.openxmlformats.org/drawingml/2006/main">
              <a:solidFill>
                <a:srgbClr val="4F81BD"/>
              </a:solidFill>
              <a:prstDash val="solid"/>
            </a:ln>
          </spPr>
          <cat>
            <strRef>
              <f>'Graphs'!$A$5:$A$13</f>
              <strCache>
                <pt idx="0">
                  <v>Canada</v>
                </pt>
                <pt idx="1">
                  <v>Spain</v>
                </pt>
                <pt idx="2">
                  <v>United States</v>
                </pt>
                <pt idx="3">
                  <v>Vietnam</v>
                </pt>
                <pt idx="4">
                  <v>Japan</v>
                </pt>
                <pt idx="5">
                  <v>Singapore</v>
                </pt>
                <pt idx="6">
                  <v>China</v>
                </pt>
                <pt idx="7">
                  <v>Italy</v>
                </pt>
                <pt idx="8">
                  <v>Thailand</v>
                </pt>
              </strCache>
            </strRef>
          </cat>
          <val>
            <numRef>
              <f>'Graphs'!$E$5:$E$13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xmlns:a="http://schemas.openxmlformats.org/drawingml/2006/main" rot="2700000"/>
          <a:p xmlns:a="http://schemas.openxmlformats.org/drawingml/2006/main">
            <a:pPr>
              <a:defRPr sz="900"/>
            </a:pPr>
            <a:r>
              <a:t/>
            </a:r>
            <a:endParaRPr sz="900"/>
          </a:p>
        </txPr>
        <crossAx val="100"/>
        <lblOffset val="100"/>
        <noMultiLvlLbl val="1"/>
      </catAx>
      <valAx>
        <axId val="100"/>
        <scaling>
          <orientation val="minMax"/>
          <max val="0.05"/>
          <min val="0"/>
        </scaling>
        <delete val="0"/>
        <axPos val="l"/>
        <numFmt formatCode="0.0%" sourceLinked="0"/>
        <majorTickMark val="none"/>
        <minorTickMark val="none"/>
        <tickLblPos val="nextTo"/>
        <crossAx val="10"/>
        <majorUnit val="0.01"/>
      </valAx>
    </plotArea>
    <legend>
      <legendPos val="t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82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file:///C:/Users/ADMIN/OneDrive/Monthly%20report/Cleaned%20data/Manager%20Pnl%20-%20Cleaned%20data/Vietnam/NGUYEN%20An.xlsx" TargetMode="External" Id="rId1"/><Relationship Type="http://schemas.openxmlformats.org/officeDocument/2006/relationships/hyperlink" Target="file:///C:/Users/ADMIN/OneDrive/Monthly%20report/Cleaned%20data/Manager%20Pnl%20-%20Cleaned%20data/Vietnam/NGO%20Thao.xlsx" TargetMode="External" Id="rId2"/><Relationship Type="http://schemas.openxmlformats.org/officeDocument/2006/relationships/hyperlink" Target="file:///C:/Users/ADMIN/OneDrive/Monthly%20report/Cleaned%20data/Manager%20Pnl%20-%20Cleaned%20data/Canada/ROY%20Amelie.xlsx" TargetMode="External" Id="rId3"/><Relationship Type="http://schemas.openxmlformats.org/officeDocument/2006/relationships/hyperlink" Target="file:///C:/Users/ADMIN/OneDrive/Monthly%20report/Cleaned%20data/Manager%20Pnl%20-%20Cleaned%20data/Canada/LEBLANC%20Marc.xlsx" TargetMode="External" Id="rId4"/><Relationship Type="http://schemas.openxmlformats.org/officeDocument/2006/relationships/hyperlink" Target="file:///C:/Users/ADMIN/OneDrive/Monthly%20report/Cleaned%20data/Manager%20Pnl%20-%20Cleaned%20data/Canada/FORTIN%20Sophie.xlsx" TargetMode="External" Id="rId5"/><Relationship Type="http://schemas.openxmlformats.org/officeDocument/2006/relationships/hyperlink" Target="file:///C:/Users/ADMIN/OneDrive/Monthly%20report/Cleaned%20data/Manager%20Pnl%20-%20Cleaned%20data/Canada/BERGERON%20Nicolas.xlsx" TargetMode="External" Id="rId6"/><Relationship Type="http://schemas.openxmlformats.org/officeDocument/2006/relationships/hyperlink" Target="file:///C:/Users/ADMIN/OneDrive/Monthly%20report/Cleaned%20data/Manager%20Pnl%20-%20Cleaned%20data/Canada/CLOUTIER%20Emma.xlsx" TargetMode="External" Id="rId7"/><Relationship Type="http://schemas.openxmlformats.org/officeDocument/2006/relationships/hyperlink" Target="file:///C:/Users/ADMIN/OneDrive/Monthly%20report/Cleaned%20data/Manager%20Pnl%20-%20Cleaned%20data/Canada/DUBE%20Alexandre.xlsx" TargetMode="External" Id="rId8"/><Relationship Type="http://schemas.openxmlformats.org/officeDocument/2006/relationships/hyperlink" Target="file:///C:/Users/ADMIN/OneDrive/Monthly%20report/Cleaned%20data/Manager%20Pnl%20-%20Cleaned%20data/Canada/PELLETIER%20Chloe.xlsx" TargetMode="External" Id="rId9"/><Relationship Type="http://schemas.openxmlformats.org/officeDocument/2006/relationships/hyperlink" Target="file:///C:/Users/ADMIN/OneDrive/Monthly%20report/Cleaned%20data/Manager%20Pnl%20-%20Cleaned%20data/Canada/MORIN%20Gabriel.xlsx" TargetMode="External" Id="rId10"/><Relationship Type="http://schemas.openxmlformats.org/officeDocument/2006/relationships/hyperlink" Target="file:///C:/Users/ADMIN/OneDrive/Monthly%20report/Cleaned%20data/Manager%20Pnl%20-%20Cleaned%20data/Canada/LAVOIE%20Juliette.xlsx" TargetMode="External" Id="rId11"/><Relationship Type="http://schemas.openxmlformats.org/officeDocument/2006/relationships/hyperlink" Target="file:///C:/Users/ADMIN/OneDrive/Monthly%20report/Cleaned%20data/Manager%20Pnl%20-%20Cleaned%20data/Canada/SIMARD%20Philippe.xlsx" TargetMode="External" Id="rId12"/><Relationship Type="http://schemas.openxmlformats.org/officeDocument/2006/relationships/hyperlink" Target="file:///C:/Users/ADMIN/OneDrive/Monthly%20report/Cleaned%20data/Manager%20Pnl%20-%20Cleaned%20data/Vietnam/PHAN%20Nam.xlsx" TargetMode="External" Id="rId13"/><Relationship Type="http://schemas.openxmlformats.org/officeDocument/2006/relationships/hyperlink" Target="file:///C:/Users/ADMIN/OneDrive/Monthly%20report/Cleaned%20data/Manager%20Pnl%20-%20Cleaned%20data/Canada/POULIN%20Audrey.xlsx" TargetMode="External" Id="rId14"/><Relationship Type="http://schemas.openxmlformats.org/officeDocument/2006/relationships/hyperlink" Target="file:///C:/Users/ADMIN/OneDrive/Monthly%20report/Cleaned%20data/Manager%20Pnl%20-%20Cleaned%20data/Canada/BEAULIEU%20Thomas.xlsx" TargetMode="External" Id="rId15"/><Relationship Type="http://schemas.openxmlformats.org/officeDocument/2006/relationships/hyperlink" Target="file:///C:/Users/ADMIN/OneDrive/Monthly%20report/Cleaned%20data/Manager%20Pnl%20-%20Cleaned%20data/Canada/OUELLETTE%20Emilie.xlsx" TargetMode="External" Id="rId16"/><Relationship Type="http://schemas.openxmlformats.org/officeDocument/2006/relationships/hyperlink" Target="file:///C:/Users/ADMIN/OneDrive/Monthly%20report/Cleaned%20data/Manager%20Pnl%20-%20Cleaned%20data/Canada/GIROUX%20Vincent.xlsx" TargetMode="External" Id="rId17"/><Relationship Type="http://schemas.openxmlformats.org/officeDocument/2006/relationships/hyperlink" Target="file:///C:/Users/ADMIN/OneDrive/Monthly%20report/Cleaned%20data/Manager%20Pnl%20-%20Cleaned%20data/Canada/CARON%20Florence.xlsx" TargetMode="External" Id="rId18"/><Relationship Type="http://schemas.openxmlformats.org/officeDocument/2006/relationships/hyperlink" Target="file:///C:/Users/ADMIN/OneDrive/Monthly%20report/Cleaned%20data/Manager%20Pnl%20-%20Cleaned%20data/Canada/MERCIER%20Antoine.xlsx" TargetMode="External" Id="rId19"/><Relationship Type="http://schemas.openxmlformats.org/officeDocument/2006/relationships/hyperlink" Target="file:///C:/Users/ADMIN/OneDrive/Monthly%20report/Cleaned%20data/Manager%20Pnl%20-%20Cleaned%20data/Japan/SATO%20Haruto.xlsx" TargetMode="External" Id="rId20"/><Relationship Type="http://schemas.openxmlformats.org/officeDocument/2006/relationships/hyperlink" Target="file:///C:/Users/ADMIN/OneDrive/Monthly%20report/Cleaned%20data/Manager%20Pnl%20-%20Cleaned%20data/Japan/SUZUKI%20Yuki.xlsx" TargetMode="External" Id="rId21"/><Relationship Type="http://schemas.openxmlformats.org/officeDocument/2006/relationships/hyperlink" Target="file:///C:/Users/ADMIN/OneDrive/Monthly%20report/Cleaned%20data/Manager%20Pnl%20-%20Cleaned%20data/Japan/TANAKA%20Sota.xlsx" TargetMode="External" Id="rId22"/><Relationship Type="http://schemas.openxmlformats.org/officeDocument/2006/relationships/hyperlink" Target="file:///C:/Users/ADMIN/OneDrive/Monthly%20report/Cleaned%20data/Manager%20Pnl%20-%20Cleaned%20data/Japan/YAMAMOTO%20Aoi.xlsx" TargetMode="External" Id="rId23"/><Relationship Type="http://schemas.openxmlformats.org/officeDocument/2006/relationships/hyperlink" Target="file:///C:/Users/ADMIN/OneDrive/Monthly%20report/Cleaned%20data/Manager%20Pnl%20-%20Cleaned%20data/Vietnam/HUYNH%20Lan.xlsx" TargetMode="External" Id="rId24"/><Relationship Type="http://schemas.openxmlformats.org/officeDocument/2006/relationships/hyperlink" Target="file:///C:/Users/ADMIN/OneDrive/Monthly%20report/Cleaned%20data/Manager%20Pnl%20-%20Cleaned%20data/Japan/WATANABE%20Ren.xlsx" TargetMode="External" Id="rId25"/><Relationship Type="http://schemas.openxmlformats.org/officeDocument/2006/relationships/hyperlink" Target="file:///C:/Users/ADMIN/OneDrive/Monthly%20report/Cleaned%20data/Manager%20Pnl%20-%20Cleaned%20data/Japan/NAKAMURA%20Hina.xlsx" TargetMode="External" Id="rId26"/><Relationship Type="http://schemas.openxmlformats.org/officeDocument/2006/relationships/hyperlink" Target="file:///C:/Users/ADMIN/OneDrive/Monthly%20report/Cleaned%20data/Manager%20Pnl%20-%20Cleaned%20data/China/LI%20Wei.xlsx" TargetMode="External" Id="rId27"/><Relationship Type="http://schemas.openxmlformats.org/officeDocument/2006/relationships/hyperlink" Target="file:///C:/Users/ADMIN/OneDrive/Monthly%20report/Cleaned%20data/Manager%20Pnl%20-%20Cleaned%20data/China/WANG%20Fang.xlsx" TargetMode="External" Id="rId28"/><Relationship Type="http://schemas.openxmlformats.org/officeDocument/2006/relationships/hyperlink" Target="file:///C:/Users/ADMIN/OneDrive/Monthly%20report/Cleaned%20data/Manager%20Pnl%20-%20Cleaned%20data/China/ZHANG%20Lei.xlsx" TargetMode="External" Id="rId29"/><Relationship Type="http://schemas.openxmlformats.org/officeDocument/2006/relationships/hyperlink" Target="file:///C:/Users/ADMIN/OneDrive/Monthly%20report/Cleaned%20data/Manager%20Pnl%20-%20Cleaned%20data/China/LIU%20Yang.xlsx" TargetMode="External" Id="rId30"/><Relationship Type="http://schemas.openxmlformats.org/officeDocument/2006/relationships/hyperlink" Target="file:///C:/Users/ADMIN/OneDrive/Monthly%20report/Cleaned%20data/Manager%20Pnl%20-%20Cleaned%20data/China/CHEN%20Ming.xlsx" TargetMode="External" Id="rId31"/><Relationship Type="http://schemas.openxmlformats.org/officeDocument/2006/relationships/hyperlink" Target="file:///C:/Users/ADMIN/OneDrive/Monthly%20report/Cleaned%20data/Manager%20Pnl%20-%20Cleaned%20data/China/YANG%20Jie.xlsx" TargetMode="External" Id="rId32"/><Relationship Type="http://schemas.openxmlformats.org/officeDocument/2006/relationships/hyperlink" Target="file:///C:/Users/ADMIN/OneDrive/Monthly%20report/Cleaned%20data/Manager%20Pnl%20-%20Cleaned%20data/China/HUANG%20Wei.xlsx" TargetMode="External" Id="rId33"/><Relationship Type="http://schemas.openxmlformats.org/officeDocument/2006/relationships/hyperlink" Target="file:///C:/Users/ADMIN/OneDrive/Monthly%20report/Cleaned%20data/Manager%20Pnl%20-%20Cleaned%20data/China/ZHAO%20Xin.xlsx" TargetMode="External" Id="rId34"/><Relationship Type="http://schemas.openxmlformats.org/officeDocument/2006/relationships/hyperlink" Target="file:///C:/Users/ADMIN/OneDrive/Monthly%20report/Cleaned%20data/Manager%20Pnl%20-%20Cleaned%20data/Vietnam/TRUONG%20Bao.xlsx" TargetMode="External" Id="rId35"/><Relationship Type="http://schemas.openxmlformats.org/officeDocument/2006/relationships/hyperlink" Target="file:///C:/Users/ADMIN/OneDrive/Monthly%20report/Cleaned%20data/Manager%20Pnl%20-%20Cleaned%20data/China/WU%20Jing.xlsx" TargetMode="External" Id="rId36"/><Relationship Type="http://schemas.openxmlformats.org/officeDocument/2006/relationships/hyperlink" Target="file:///C:/Users/ADMIN/OneDrive/Monthly%20report/Cleaned%20data/Manager%20Pnl%20-%20Cleaned%20data/China/ZHOU%20Hao.xlsx" TargetMode="External" Id="rId37"/><Relationship Type="http://schemas.openxmlformats.org/officeDocument/2006/relationships/hyperlink" Target="file:///C:/Users/ADMIN/OneDrive/Monthly%20report/Cleaned%20data/Manager%20Pnl%20-%20Cleaned%20data/China/XU%20Li.xlsx" TargetMode="External" Id="rId38"/><Relationship Type="http://schemas.openxmlformats.org/officeDocument/2006/relationships/hyperlink" Target="file:///C:/Users/ADMIN/OneDrive/Monthly%20report/Cleaned%20data/Manager%20Pnl%20-%20Cleaned%20data/China/SUN%20Qiang.xlsx" TargetMode="External" Id="rId39"/><Relationship Type="http://schemas.openxmlformats.org/officeDocument/2006/relationships/hyperlink" Target="file:///C:/Users/ADMIN/OneDrive/Monthly%20report/Cleaned%20data/Manager%20Pnl%20-%20Cleaned%20data/China/MA%20Yan.xlsx" TargetMode="External" Id="rId40"/><Relationship Type="http://schemas.openxmlformats.org/officeDocument/2006/relationships/hyperlink" Target="file:///C:/Users/ADMIN/OneDrive/Monthly%20report/Cleaned%20data/Manager%20Pnl%20-%20Cleaned%20data/China/ZHU%20Lin.xlsx" TargetMode="External" Id="rId41"/><Relationship Type="http://schemas.openxmlformats.org/officeDocument/2006/relationships/hyperlink" Target="file:///C:/Users/ADMIN/OneDrive/Monthly%20report/Cleaned%20data/Manager%20Pnl%20-%20Cleaned%20data/China/HU%20Jun.xlsx" TargetMode="External" Id="rId42"/><Relationship Type="http://schemas.openxmlformats.org/officeDocument/2006/relationships/hyperlink" Target="file:///C:/Users/ADMIN/OneDrive/Monthly%20report/Cleaned%20data/Manager%20Pnl%20-%20Cleaned%20data/Vietnam/VO%20My.xlsx" TargetMode="External" Id="rId43"/><Relationship Type="http://schemas.openxmlformats.org/officeDocument/2006/relationships/hyperlink" Target="file:///C:/Users/ADMIN/OneDrive/Monthly%20report/Cleaned%20data/Manager%20Pnl%20-%20Cleaned%20data/Vietnam/DINH%20Son.xlsx" TargetMode="External" Id="rId44"/><Relationship Type="http://schemas.openxmlformats.org/officeDocument/2006/relationships/hyperlink" Target="file:///C:/Users/ADMIN/OneDrive/Monthly%20report/Cleaned%20data/Manager%20Pnl%20-%20Cleaned%20data/Vietnam/MAI%20Ha.xlsx" TargetMode="External" Id="rId45"/><Relationship Type="http://schemas.openxmlformats.org/officeDocument/2006/relationships/hyperlink" Target="file:///C:/Users/ADMIN/OneDrive/Monthly%20report/Cleaned%20data/Manager%20Pnl%20-%20Cleaned%20data/Vietnam/TA%20Minh.xlsx" TargetMode="External" Id="rId46"/><Relationship Type="http://schemas.openxmlformats.org/officeDocument/2006/relationships/hyperlink" Target="file:///C:/Users/ADMIN/OneDrive/Monthly%20report/Cleaned%20data/Manager%20Pnl%20-%20Cleaned%20data/Thailand/SIRIPONG%20Anan.xlsx" TargetMode="External" Id="rId47"/><Relationship Type="http://schemas.openxmlformats.org/officeDocument/2006/relationships/hyperlink" Target="file:///C:/Users/ADMIN/OneDrive/Monthly%20report/Cleaned%20data/Manager%20Pnl%20-%20Cleaned%20data/Thailand/CHAIYASIT%20Nicha.xlsx" TargetMode="External" Id="rId48"/><Relationship Type="http://schemas.openxmlformats.org/officeDocument/2006/relationships/hyperlink" Target="file:///C:/Users/ADMIN/OneDrive/Monthly%20report/Cleaned%20data/Manager%20Pnl%20-%20Cleaned%20data/Vietnam/TRAN%20Linh.xlsx" TargetMode="External" Id="rId49"/><Relationship Type="http://schemas.openxmlformats.org/officeDocument/2006/relationships/hyperlink" Target="file:///C:/Users/ADMIN/OneDrive/Monthly%20report/Cleaned%20data/Manager%20Pnl%20-%20Cleaned%20data/Thailand/WONGSA%20Kanya.xlsx" TargetMode="External" Id="rId50"/><Relationship Type="http://schemas.openxmlformats.org/officeDocument/2006/relationships/hyperlink" Target="file:///C:/Users/ADMIN/OneDrive/Monthly%20report/Cleaned%20data/Manager%20Pnl%20-%20Cleaned%20data/Thailand/PRASERT%20Somchai.xlsx" TargetMode="External" Id="rId51"/><Relationship Type="http://schemas.openxmlformats.org/officeDocument/2006/relationships/hyperlink" Target="file:///C:/Users/ADMIN/OneDrive/Monthly%20report/Cleaned%20data/Manager%20Pnl%20-%20Cleaned%20data/Thailand/KITTIPONG%20Mali.xlsx" TargetMode="External" Id="rId52"/><Relationship Type="http://schemas.openxmlformats.org/officeDocument/2006/relationships/hyperlink" Target="file:///C:/Users/ADMIN/OneDrive/Monthly%20report/Cleaned%20data/Manager%20Pnl%20-%20Cleaned%20data/Thailand/PIMCHANOK%20Narin.xlsx" TargetMode="External" Id="rId53"/><Relationship Type="http://schemas.openxmlformats.org/officeDocument/2006/relationships/hyperlink" Target="file:///C:/Users/ADMIN/OneDrive/Monthly%20report/Cleaned%20data/Manager%20Pnl%20-%20Cleaned%20data/Thailand/CHANTHARA%20Kanya.xlsx" TargetMode="External" Id="rId54"/><Relationship Type="http://schemas.openxmlformats.org/officeDocument/2006/relationships/hyperlink" Target="file:///C:/Users/ADMIN/OneDrive/Monthly%20report/Cleaned%20data/Manager%20Pnl%20-%20Cleaned%20data/Thailand/RATTANA%20Anong.xlsx" TargetMode="External" Id="rId55"/><Relationship Type="http://schemas.openxmlformats.org/officeDocument/2006/relationships/hyperlink" Target="file:///C:/Users/ADMIN/OneDrive/Monthly%20report/Cleaned%20data/Manager%20Pnl%20-%20Cleaned%20data/Thailand/SURIYA%20Nop.xlsx" TargetMode="External" Id="rId56"/><Relationship Type="http://schemas.openxmlformats.org/officeDocument/2006/relationships/hyperlink" Target="file:///C:/Users/ADMIN/OneDrive/Monthly%20report/Cleaned%20data/Manager%20Pnl%20-%20Cleaned%20data/Singapore/TAN%20Wei%20Ming.xlsx" TargetMode="External" Id="rId57"/><Relationship Type="http://schemas.openxmlformats.org/officeDocument/2006/relationships/hyperlink" Target="file:///C:/Users/ADMIN/OneDrive/Monthly%20report/Cleaned%20data/Manager%20Pnl%20-%20Cleaned%20data/Singapore/LIM%20Jia%20Hui.xlsx" TargetMode="External" Id="rId58"/><Relationship Type="http://schemas.openxmlformats.org/officeDocument/2006/relationships/hyperlink" Target="file:///C:/Users/ADMIN/OneDrive/Monthly%20report/Cleaned%20data/Manager%20Pnl%20-%20Cleaned%20data/Singapore/LEE%20Daniel.xlsx" TargetMode="External" Id="rId59"/><Relationship Type="http://schemas.openxmlformats.org/officeDocument/2006/relationships/hyperlink" Target="file:///C:/Users/ADMIN/OneDrive/Monthly%20report/Cleaned%20data/Manager%20Pnl%20-%20Cleaned%20data/Vietnam/LE%20Minh.xlsx" TargetMode="External" Id="rId60"/><Relationship Type="http://schemas.openxmlformats.org/officeDocument/2006/relationships/hyperlink" Target="file:///C:/Users/ADMIN/OneDrive/Monthly%20report/Cleaned%20data/Manager%20Pnl%20-%20Cleaned%20data/Singapore/ONG%20Wei.xlsx" TargetMode="External" Id="rId61"/><Relationship Type="http://schemas.openxmlformats.org/officeDocument/2006/relationships/hyperlink" Target="file:///C:/Users/ADMIN/OneDrive/Monthly%20report/Cleaned%20data/Manager%20Pnl%20-%20Cleaned%20data/Singapore/KOH%20Mei.xlsx" TargetMode="External" Id="rId62"/><Relationship Type="http://schemas.openxmlformats.org/officeDocument/2006/relationships/hyperlink" Target="file:///C:/Users/ADMIN/OneDrive/Monthly%20report/Cleaned%20data/Manager%20Pnl%20-%20Cleaned%20data/Singapore/GOH%20Adrian.xlsx" TargetMode="External" Id="rId63"/><Relationship Type="http://schemas.openxmlformats.org/officeDocument/2006/relationships/hyperlink" Target="file:///C:/Users/ADMIN/OneDrive/Monthly%20report/Cleaned%20data/Manager%20Pnl%20-%20Cleaned%20data/Singapore/CHUA%20Rachel.xlsx" TargetMode="External" Id="rId64"/><Relationship Type="http://schemas.openxmlformats.org/officeDocument/2006/relationships/hyperlink" Target="file:///C:/Users/ADMIN/OneDrive/Monthly%20report/Cleaned%20data/Manager%20Pnl%20-%20Cleaned%20data/Singapore/YEO%20Kai.xlsx" TargetMode="External" Id="rId65"/><Relationship Type="http://schemas.openxmlformats.org/officeDocument/2006/relationships/hyperlink" Target="file:///C:/Users/ADMIN/OneDrive/Monthly%20report/Cleaned%20data/Manager%20Pnl%20-%20Cleaned%20data/Singapore/QUEK%20Jia.xlsx" TargetMode="External" Id="rId66"/><Relationship Type="http://schemas.openxmlformats.org/officeDocument/2006/relationships/hyperlink" Target="file:///C:/Users/ADMIN/OneDrive/Monthly%20report/Cleaned%20data/Manager%20Pnl%20-%20Cleaned%20data/Singapore/HO%20Wen.xlsx" TargetMode="External" Id="rId67"/><Relationship Type="http://schemas.openxmlformats.org/officeDocument/2006/relationships/hyperlink" Target="file:///C:/Users/ADMIN/OneDrive/Monthly%20report/Cleaned%20data/Manager%20Pnl%20-%20Cleaned%20data/Singapore/SEAH%20Marcus.xlsx" TargetMode="External" Id="rId68"/><Relationship Type="http://schemas.openxmlformats.org/officeDocument/2006/relationships/hyperlink" Target="file:///C:/Users/ADMIN/OneDrive/Monthly%20report/Cleaned%20data/Manager%20Pnl%20-%20Cleaned%20data/Singapore/TEOH%20Sarah.xlsx" TargetMode="External" Id="rId69"/><Relationship Type="http://schemas.openxmlformats.org/officeDocument/2006/relationships/hyperlink" Target="file:///C:/Users/ADMIN/OneDrive/Monthly%20report/Cleaned%20data/Manager%20Pnl%20-%20Cleaned%20data/Italy/ROSSI%20Andrea.xlsx" TargetMode="External" Id="rId70"/><Relationship Type="http://schemas.openxmlformats.org/officeDocument/2006/relationships/hyperlink" Target="file:///C:/Users/ADMIN/OneDrive/Monthly%20report/Cleaned%20data/Manager%20Pnl%20-%20Cleaned%20data/Vietnam/PHAM%20Quang.xlsx" TargetMode="External" Id="rId71"/><Relationship Type="http://schemas.openxmlformats.org/officeDocument/2006/relationships/hyperlink" Target="file:///C:/Users/ADMIN/OneDrive/Monthly%20report/Cleaned%20data/Manager%20Pnl%20-%20Cleaned%20data/Italy/FERRARI%20Giulia.xlsx" TargetMode="External" Id="rId72"/><Relationship Type="http://schemas.openxmlformats.org/officeDocument/2006/relationships/hyperlink" Target="file:///C:/Users/ADMIN/OneDrive/Monthly%20report/Cleaned%20data/Manager%20Pnl%20-%20Cleaned%20data/Italy/BIANCHI%20Marco.xlsx" TargetMode="External" Id="rId73"/><Relationship Type="http://schemas.openxmlformats.org/officeDocument/2006/relationships/hyperlink" Target="file:///C:/Users/ADMIN/OneDrive/Monthly%20report/Cleaned%20data/Manager%20Pnl%20-%20Cleaned%20data/Italy/ROMANO%20Elena.xlsx" TargetMode="External" Id="rId74"/><Relationship Type="http://schemas.openxmlformats.org/officeDocument/2006/relationships/hyperlink" Target="file:///C:/Users/ADMIN/OneDrive/Monthly%20report/Cleaned%20data/Manager%20Pnl%20-%20Cleaned%20data/Italy/CONTI%20Luca.xlsx" TargetMode="External" Id="rId75"/><Relationship Type="http://schemas.openxmlformats.org/officeDocument/2006/relationships/hyperlink" Target="file:///C:/Users/ADMIN/OneDrive/Monthly%20report/Cleaned%20data/Manager%20Pnl%20-%20Cleaned%20data/Italy/RICCI%20Sofia.xlsx" TargetMode="External" Id="rId76"/><Relationship Type="http://schemas.openxmlformats.org/officeDocument/2006/relationships/hyperlink" Target="file:///C:/Users/ADMIN/OneDrive/Monthly%20report/Cleaned%20data/Manager%20Pnl%20-%20Cleaned%20data/Italy/GRECO%20Matteo.xlsx" TargetMode="External" Id="rId77"/><Relationship Type="http://schemas.openxmlformats.org/officeDocument/2006/relationships/hyperlink" Target="file:///C:/Users/ADMIN/OneDrive/Monthly%20report/Cleaned%20data/Manager%20Pnl%20-%20Cleaned%20data/Italy/MARINO%20Chiara.xlsx" TargetMode="External" Id="rId78"/><Relationship Type="http://schemas.openxmlformats.org/officeDocument/2006/relationships/hyperlink" Target="file:///C:/Users/ADMIN/OneDrive/Monthly%20report/Cleaned%20data/Manager%20Pnl%20-%20Cleaned%20data/Italy/GIORDANO%20Paolo.xlsx" TargetMode="External" Id="rId79"/><Relationship Type="http://schemas.openxmlformats.org/officeDocument/2006/relationships/hyperlink" Target="file:///C:/Users/ADMIN/OneDrive/Monthly%20report/Cleaned%20data/Manager%20Pnl%20-%20Cleaned%20data/Italy/MANCINI%20Laura.xlsx" TargetMode="External" Id="rId80"/><Relationship Type="http://schemas.openxmlformats.org/officeDocument/2006/relationships/hyperlink" Target="file:///C:/Users/ADMIN/OneDrive/Monthly%20report/Cleaned%20data/Manager%20Pnl%20-%20Cleaned%20data/Italy/FERRARO%20Stefano.xlsx" TargetMode="External" Id="rId81"/><Relationship Type="http://schemas.openxmlformats.org/officeDocument/2006/relationships/hyperlink" Target="file:///C:/Users/ADMIN/OneDrive/Monthly%20report/Cleaned%20data/Manager%20Pnl%20-%20Cleaned%20data/Vietnam/HOANG%20Mai.xlsx" TargetMode="External" Id="rId82"/><Relationship Type="http://schemas.openxmlformats.org/officeDocument/2006/relationships/hyperlink" Target="file:///C:/Users/ADMIN/OneDrive/Monthly%20report/Cleaned%20data/Manager%20Pnl%20-%20Cleaned%20data/Italy/MORETTI%20Elisa.xlsx" TargetMode="External" Id="rId83"/><Relationship Type="http://schemas.openxmlformats.org/officeDocument/2006/relationships/hyperlink" Target="file:///C:/Users/ADMIN/OneDrive/Monthly%20report/Cleaned%20data/Manager%20Pnl%20-%20Cleaned%20data/Italy/COSTA%20Davide.xlsx" TargetMode="External" Id="rId84"/><Relationship Type="http://schemas.openxmlformats.org/officeDocument/2006/relationships/hyperlink" Target="file:///C:/Users/ADMIN/OneDrive/Monthly%20report/Cleaned%20data/Manager%20Pnl%20-%20Cleaned%20data/United%20States/SMITH%20James.xlsx" TargetMode="External" Id="rId85"/><Relationship Type="http://schemas.openxmlformats.org/officeDocument/2006/relationships/hyperlink" Target="file:///C:/Users/ADMIN/OneDrive/Monthly%20report/Cleaned%20data/Manager%20Pnl%20-%20Cleaned%20data/United%20States/JOHNSON%20Emily.xlsx" TargetMode="External" Id="rId86"/><Relationship Type="http://schemas.openxmlformats.org/officeDocument/2006/relationships/hyperlink" Target="file:///C:/Users/ADMIN/OneDrive/Monthly%20report/Cleaned%20data/Manager%20Pnl%20-%20Cleaned%20data/United%20States/WILLIAMS%20Michael.xlsx" TargetMode="External" Id="rId87"/><Relationship Type="http://schemas.openxmlformats.org/officeDocument/2006/relationships/hyperlink" Target="file:///C:/Users/ADMIN/OneDrive/Monthly%20report/Cleaned%20data/Manager%20Pnl%20-%20Cleaned%20data/United%20States/BROWN%20Olivia.xlsx" TargetMode="External" Id="rId88"/><Relationship Type="http://schemas.openxmlformats.org/officeDocument/2006/relationships/hyperlink" Target="file:///C:/Users/ADMIN/OneDrive/Monthly%20report/Cleaned%20data/Manager%20Pnl%20-%20Cleaned%20data/United%20States/JONES%20William.xlsx" TargetMode="External" Id="rId89"/><Relationship Type="http://schemas.openxmlformats.org/officeDocument/2006/relationships/hyperlink" Target="file:///C:/Users/ADMIN/OneDrive/Monthly%20report/Cleaned%20data/Manager%20Pnl%20-%20Cleaned%20data/United%20States/DAVIS%20Sophia.xlsx" TargetMode="External" Id="rId90"/><Relationship Type="http://schemas.openxmlformats.org/officeDocument/2006/relationships/hyperlink" Target="file:///C:/Users/ADMIN/OneDrive/Monthly%20report/Cleaned%20data/Manager%20Pnl%20-%20Cleaned%20data/United%20States/MILLER%20Daniel.xlsx" TargetMode="External" Id="rId91"/><Relationship Type="http://schemas.openxmlformats.org/officeDocument/2006/relationships/hyperlink" Target="file:///C:/Users/ADMIN/OneDrive/Monthly%20report/Cleaned%20data/Manager%20Pnl%20-%20Cleaned%20data/United%20States/WILSON%20Ava.xlsx" TargetMode="External" Id="rId92"/><Relationship Type="http://schemas.openxmlformats.org/officeDocument/2006/relationships/hyperlink" Target="file:///C:/Users/ADMIN/OneDrive/Monthly%20report/Cleaned%20data/Manager%20Pnl%20-%20Cleaned%20data/Vietnam/BUI%20Thanh.xlsx" TargetMode="External" Id="rId93"/><Relationship Type="http://schemas.openxmlformats.org/officeDocument/2006/relationships/hyperlink" Target="file:///C:/Users/ADMIN/OneDrive/Monthly%20report/Cleaned%20data/Manager%20Pnl%20-%20Cleaned%20data/United%20States/MOORE%20Matthew.xlsx" TargetMode="External" Id="rId94"/><Relationship Type="http://schemas.openxmlformats.org/officeDocument/2006/relationships/hyperlink" Target="file:///C:/Users/ADMIN/OneDrive/Monthly%20report/Cleaned%20data/Manager%20Pnl%20-%20Cleaned%20data/United%20States/TAYLOR%20Emma.xlsx" TargetMode="External" Id="rId95"/><Relationship Type="http://schemas.openxmlformats.org/officeDocument/2006/relationships/hyperlink" Target="file:///C:/Users/ADMIN/OneDrive/Monthly%20report/Cleaned%20data/Manager%20Pnl%20-%20Cleaned%20data/United%20States/ANDERSON%20David.xlsx" TargetMode="External" Id="rId96"/><Relationship Type="http://schemas.openxmlformats.org/officeDocument/2006/relationships/hyperlink" Target="file:///C:/Users/ADMIN/OneDrive/Monthly%20report/Cleaned%20data/Manager%20Pnl%20-%20Cleaned%20data/United%20States/THOMAS%20Mia.xlsx" TargetMode="External" Id="rId97"/><Relationship Type="http://schemas.openxmlformats.org/officeDocument/2006/relationships/hyperlink" Target="file:///C:/Users/ADMIN/OneDrive/Monthly%20report/Cleaned%20data/Manager%20Pnl%20-%20Cleaned%20data/United%20States/JACKSON%20Andrew.xlsx" TargetMode="External" Id="rId98"/><Relationship Type="http://schemas.openxmlformats.org/officeDocument/2006/relationships/hyperlink" Target="file:///C:/Users/ADMIN/OneDrive/Monthly%20report/Cleaned%20data/Manager%20Pnl%20-%20Cleaned%20data/United%20States/WHITE%20Grace.xlsx" TargetMode="External" Id="rId99"/><Relationship Type="http://schemas.openxmlformats.org/officeDocument/2006/relationships/hyperlink" Target="file:///C:/Users/ADMIN/OneDrive/Monthly%20report/Cleaned%20data/Manager%20Pnl%20-%20Cleaned%20data/United%20States/HARRIS%20Henry.xlsx" TargetMode="External" Id="rId100"/><Relationship Type="http://schemas.openxmlformats.org/officeDocument/2006/relationships/hyperlink" Target="file:///C:/Users/ADMIN/OneDrive/Monthly%20report/Cleaned%20data/Manager%20Pnl%20-%20Cleaned%20data/United%20States/CARTER%20Ethan.xlsx" TargetMode="External" Id="rId101"/><Relationship Type="http://schemas.openxmlformats.org/officeDocument/2006/relationships/hyperlink" Target="file:///C:/Users/ADMIN/OneDrive/Monthly%20report/Cleaned%20data/Manager%20Pnl%20-%20Cleaned%20data/United%20States/MITCHELL%20Lily.xlsx" TargetMode="External" Id="rId102"/><Relationship Type="http://schemas.openxmlformats.org/officeDocument/2006/relationships/hyperlink" Target="file:///C:/Users/ADMIN/OneDrive/Monthly%20report/Cleaned%20data/Manager%20Pnl%20-%20Cleaned%20data/United%20States/ROBERTS%20Noah.xlsx" TargetMode="External" Id="rId103"/><Relationship Type="http://schemas.openxmlformats.org/officeDocument/2006/relationships/hyperlink" Target="file:///C:/Users/ADMIN/OneDrive/Monthly%20report/Cleaned%20data/Manager%20Pnl%20-%20Cleaned%20data/Vietnam/DOAN%20Huy.xlsx" TargetMode="External" Id="rId104"/><Relationship Type="http://schemas.openxmlformats.org/officeDocument/2006/relationships/hyperlink" Target="file:///C:/Users/ADMIN/OneDrive/Monthly%20report/Cleaned%20data/Manager%20Pnl%20-%20Cleaned%20data/United%20States/CAMPBELL%20Chloe.xlsx" TargetMode="External" Id="rId105"/><Relationship Type="http://schemas.openxmlformats.org/officeDocument/2006/relationships/hyperlink" Target="file:///C:/Users/ADMIN/OneDrive/Monthly%20report/Cleaned%20data/Manager%20Pnl%20-%20Cleaned%20data/United%20States/PARKER%20Liam.xlsx" TargetMode="External" Id="rId106"/><Relationship Type="http://schemas.openxmlformats.org/officeDocument/2006/relationships/hyperlink" Target="file:///C:/Users/ADMIN/OneDrive/Monthly%20report/Cleaned%20data/Manager%20Pnl%20-%20Cleaned%20data/United%20States/EVANS%20Madison.xlsx" TargetMode="External" Id="rId107"/><Relationship Type="http://schemas.openxmlformats.org/officeDocument/2006/relationships/hyperlink" Target="file:///C:/Users/ADMIN/OneDrive/Monthly%20report/Cleaned%20data/Manager%20Pnl%20-%20Cleaned%20data/Spain/GARCIA%20Alejandro.xlsx" TargetMode="External" Id="rId108"/><Relationship Type="http://schemas.openxmlformats.org/officeDocument/2006/relationships/hyperlink" Target="file:///C:/Users/ADMIN/OneDrive/Monthly%20report/Cleaned%20data/Manager%20Pnl%20-%20Cleaned%20data/Spain/MARTINEZ%20Lucia.xlsx" TargetMode="External" Id="rId109"/><Relationship Type="http://schemas.openxmlformats.org/officeDocument/2006/relationships/hyperlink" Target="file:///C:/Users/ADMIN/OneDrive/Monthly%20report/Cleaned%20data/Manager%20Pnl%20-%20Cleaned%20data/Spain/RODRIGUEZ%20Daniel.xlsx" TargetMode="External" Id="rId110"/><Relationship Type="http://schemas.openxmlformats.org/officeDocument/2006/relationships/hyperlink" Target="file:///C:/Users/ADMIN/OneDrive/Monthly%20report/Cleaned%20data/Manager%20Pnl%20-%20Cleaned%20data/Spain/LOPEZ%20Carmen.xlsx" TargetMode="External" Id="rId111"/><Relationship Type="http://schemas.openxmlformats.org/officeDocument/2006/relationships/hyperlink" Target="file:///C:/Users/ADMIN/OneDrive/Monthly%20report/Cleaned%20data/Manager%20Pnl%20-%20Cleaned%20data/Spain/SANCHEZ%20Javier.xlsx" TargetMode="External" Id="rId112"/><Relationship Type="http://schemas.openxmlformats.org/officeDocument/2006/relationships/hyperlink" Target="file:///C:/Users/ADMIN/OneDrive/Monthly%20report/Cleaned%20data/Manager%20Pnl%20-%20Cleaned%20data/Spain/PEREZ%20Sofia.xlsx" TargetMode="External" Id="rId113"/><Relationship Type="http://schemas.openxmlformats.org/officeDocument/2006/relationships/hyperlink" Target="file:///C:/Users/ADMIN/OneDrive/Monthly%20report/Cleaned%20data/Manager%20Pnl%20-%20Cleaned%20data/Spain/GOMEZ%20Miguel.xlsx" TargetMode="External" Id="rId114"/><Relationship Type="http://schemas.openxmlformats.org/officeDocument/2006/relationships/hyperlink" Target="file:///C:/Users/ADMIN/OneDrive/Monthly%20report/Cleaned%20data/Manager%20Pnl%20-%20Cleaned%20data/Vietnam/VU%20Anh.xlsx" TargetMode="External" Id="rId115"/><Relationship Type="http://schemas.openxmlformats.org/officeDocument/2006/relationships/hyperlink" Target="file:///C:/Users/ADMIN/OneDrive/Monthly%20report/Cleaned%20data/Manager%20Pnl%20-%20Cleaned%20data/Spain/MARTIN%20Elena.xlsx" TargetMode="External" Id="rId116"/><Relationship Type="http://schemas.openxmlformats.org/officeDocument/2006/relationships/hyperlink" Target="file:///C:/Users/ADMIN/OneDrive/Monthly%20report/Cleaned%20data/Manager%20Pnl%20-%20Cleaned%20data/Spain/JIMENEZ%20Pablo.xlsx" TargetMode="External" Id="rId117"/><Relationship Type="http://schemas.openxmlformats.org/officeDocument/2006/relationships/hyperlink" Target="file:///C:/Users/ADMIN/OneDrive/Monthly%20report/Cleaned%20data/Manager%20Pnl%20-%20Cleaned%20data/Spain/RUIZ%20Clara.xlsx" TargetMode="External" Id="rId118"/><Relationship Type="http://schemas.openxmlformats.org/officeDocument/2006/relationships/hyperlink" Target="file:///C:/Users/ADMIN/OneDrive/Monthly%20report/Cleaned%20data/Manager%20Pnl%20-%20Cleaned%20data/Spain/HERNANDEZ%20Carlos.xlsx" TargetMode="External" Id="rId119"/><Relationship Type="http://schemas.openxmlformats.org/officeDocument/2006/relationships/hyperlink" Target="file:///C:/Users/ADMIN/OneDrive/Monthly%20report/Cleaned%20data/Manager%20Pnl%20-%20Cleaned%20data/Spain/DIAZ%20Marta.xlsx" TargetMode="External" Id="rId120"/><Relationship Type="http://schemas.openxmlformats.org/officeDocument/2006/relationships/hyperlink" Target="file:///C:/Users/ADMIN/OneDrive/Monthly%20report/Cleaned%20data/Manager%20Pnl%20-%20Cleaned%20data/Spain/MORENO%20Diego.xlsx" TargetMode="External" Id="rId121"/><Relationship Type="http://schemas.openxmlformats.org/officeDocument/2006/relationships/hyperlink" Target="file:///C:/Users/ADMIN/OneDrive/Monthly%20report/Cleaned%20data/Manager%20Pnl%20-%20Cleaned%20data/Spain/MUNOZ%20Laura.xlsx" TargetMode="External" Id="rId122"/><Relationship Type="http://schemas.openxmlformats.org/officeDocument/2006/relationships/hyperlink" Target="file:///C:/Users/ADMIN/OneDrive/Monthly%20report/Cleaned%20data/Manager%20Pnl%20-%20Cleaned%20data/Spain/ALVAREZ%20Adrian.xlsx" TargetMode="External" Id="rId123"/><Relationship Type="http://schemas.openxmlformats.org/officeDocument/2006/relationships/hyperlink" Target="file:///C:/Users/ADMIN/OneDrive/Monthly%20report/Cleaned%20data/Manager%20Pnl%20-%20Cleaned%20data/Spain/CASTRO%20Alba.xlsx" TargetMode="External" Id="rId124"/><Relationship Type="http://schemas.openxmlformats.org/officeDocument/2006/relationships/hyperlink" Target="file:///C:/Users/ADMIN/OneDrive/Monthly%20report/Cleaned%20data/Manager%20Pnl%20-%20Cleaned%20data/Spain/ORTEGA%20Hugo.xlsx" TargetMode="External" Id="rId125"/><Relationship Type="http://schemas.openxmlformats.org/officeDocument/2006/relationships/hyperlink" Target="file:///C:/Users/ADMIN/OneDrive/Monthly%20report/Cleaned%20data/Manager%20Pnl%20-%20Cleaned%20data/Vietnam/DANG%20Khoa.xlsx" TargetMode="External" Id="rId126"/><Relationship Type="http://schemas.openxmlformats.org/officeDocument/2006/relationships/hyperlink" Target="file:///C:/Users/ADMIN/OneDrive/Monthly%20report/Cleaned%20data/Manager%20Pnl%20-%20Cleaned%20data/Spain/DELGADO%20Irene.xlsx" TargetMode="External" Id="rId127"/><Relationship Type="http://schemas.openxmlformats.org/officeDocument/2006/relationships/hyperlink" Target="file:///C:/Users/ADMIN/OneDrive/Monthly%20report/Cleaned%20data/Manager%20Pnl%20-%20Cleaned%20data/Spain/VEGA%20Raul.xlsx" TargetMode="External" Id="rId128"/><Relationship Type="http://schemas.openxmlformats.org/officeDocument/2006/relationships/hyperlink" Target="file:///C:/Users/ADMIN/OneDrive/Monthly%20report/Cleaned%20data/Manager%20Pnl%20-%20Cleaned%20data/Spain/RAMOS%20Natalia.xlsx" TargetMode="External" Id="rId129"/><Relationship Type="http://schemas.openxmlformats.org/officeDocument/2006/relationships/hyperlink" Target="file:///C:/Users/ADMIN/OneDrive/Monthly%20report/Cleaned%20data/Manager%20Pnl%20-%20Cleaned%20data/Spain/CRUZ%20Sergio.xlsx" TargetMode="External" Id="rId130"/><Relationship Type="http://schemas.openxmlformats.org/officeDocument/2006/relationships/hyperlink" Target="file:///C:/Users/ADMIN/OneDrive/Monthly%20report/Cleaned%20data/Manager%20Pnl%20-%20Cleaned%20data/Spain/PASCUAL%20Alicia.xlsx" TargetMode="External" Id="rId131"/><Relationship Type="http://schemas.openxmlformats.org/officeDocument/2006/relationships/hyperlink" Target="file:///C:/Users/ADMIN/OneDrive/Monthly%20report/Cleaned%20data/Manager%20Pnl%20-%20Cleaned%20data/Spain/MOLINA%20Bruno.xlsx" TargetMode="External" Id="rId132"/><Relationship Type="http://schemas.openxmlformats.org/officeDocument/2006/relationships/hyperlink" Target="file:///C:/Users/ADMIN/OneDrive/Monthly%20report/Cleaned%20data/Manager%20Pnl%20-%20Cleaned%20data/Canada/MARTIN%20Olivia.xlsx" TargetMode="External" Id="rId133"/><Relationship Type="http://schemas.openxmlformats.org/officeDocument/2006/relationships/hyperlink" Target="file:///C:/Users/ADMIN/OneDrive/Monthly%20report/Cleaned%20data/Manager%20Pnl%20-%20Cleaned%20data/Canada/BOUCHARD%20Etienne.xlsx" TargetMode="External" Id="rId134"/><Relationship Type="http://schemas.openxmlformats.org/officeDocument/2006/relationships/hyperlink" Target="file:///C:/Users/ADMIN/OneDrive/Monthly%20report/Cleaned%20data/Manager%20Pnl%20-%20Cleaned%20data/Canada/GAGNON%20Camille.xlsx" TargetMode="External" Id="rId135"/><Relationship Type="http://schemas.openxmlformats.org/officeDocument/2006/relationships/hyperlink" Target="file:///C:/Users/ADMIN/OneDrive/Monthly%20report/Cleaned%20data/Manager%20Pnl%20-%20Cleaned%20data/Canada/TREMBLAY%20Laurent.xlsx" TargetMode="External" Id="rId1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24" customWidth="1" min="4" max="4"/>
    <col width="16" customWidth="1" min="5" max="5"/>
  </cols>
  <sheetData>
    <row r="1" ht="28" customHeight="1">
      <c r="A1" s="1" t="inlineStr">
        <is>
          <t>PNL AUDIT GRAPHS - Manager Pnl</t>
        </is>
      </c>
    </row>
    <row r="2" ht="22" customHeight="1">
      <c r="A2" s="2" t="inlineStr">
        <is>
          <t>Share of projects with GM% above 70% by country</t>
        </is>
      </c>
    </row>
    <row r="4">
      <c r="A4" s="3" t="inlineStr">
        <is>
          <t>Country</t>
        </is>
      </c>
      <c r="B4" s="3" t="inlineStr">
        <is>
          <t># Managers</t>
        </is>
      </c>
      <c r="C4" s="3" t="inlineStr">
        <is>
          <t># Total Projects</t>
        </is>
      </c>
      <c r="D4" s="3" t="inlineStr">
        <is>
          <t># Projects GM% &gt; 70%</t>
        </is>
      </c>
      <c r="E4" s="3" t="inlineStr">
        <is>
          <t>High GM Rate</t>
        </is>
      </c>
    </row>
    <row r="5">
      <c r="A5" s="4" t="inlineStr">
        <is>
          <t>Canada</t>
        </is>
      </c>
      <c r="B5" s="5" t="n">
        <v>20</v>
      </c>
      <c r="C5" s="5" t="n">
        <v>1807</v>
      </c>
      <c r="D5" s="5" t="n">
        <v>12</v>
      </c>
      <c r="E5" s="6" t="n">
        <v>0.006640841173215274</v>
      </c>
    </row>
    <row r="6">
      <c r="A6" s="7" t="inlineStr">
        <is>
          <t>Spain</t>
        </is>
      </c>
      <c r="B6" s="8" t="n">
        <v>23</v>
      </c>
      <c r="C6" s="8" t="n">
        <v>1712</v>
      </c>
      <c r="D6" s="8" t="n">
        <v>17</v>
      </c>
      <c r="E6" s="9" t="n">
        <v>0.009929906542056074</v>
      </c>
    </row>
    <row r="7">
      <c r="A7" s="4" t="inlineStr">
        <is>
          <t>United States</t>
        </is>
      </c>
      <c r="B7" s="5" t="n">
        <v>21</v>
      </c>
      <c r="C7" s="5" t="n">
        <v>1652</v>
      </c>
      <c r="D7" s="5" t="n">
        <v>10</v>
      </c>
      <c r="E7" s="6" t="n">
        <v>0.006053268765133172</v>
      </c>
    </row>
    <row r="8">
      <c r="A8" s="7" t="inlineStr">
        <is>
          <t>Vietnam</t>
        </is>
      </c>
      <c r="B8" s="8" t="n">
        <v>17</v>
      </c>
      <c r="C8" s="8" t="n">
        <v>1522</v>
      </c>
      <c r="D8" s="8" t="n">
        <v>9</v>
      </c>
      <c r="E8" s="9" t="n">
        <v>0.005913272010512484</v>
      </c>
    </row>
    <row r="9">
      <c r="A9" s="4" t="inlineStr">
        <is>
          <t>Japan</t>
        </is>
      </c>
      <c r="B9" s="5" t="n">
        <v>6</v>
      </c>
      <c r="C9" s="5" t="n">
        <v>340</v>
      </c>
      <c r="D9" s="5" t="n">
        <v>6</v>
      </c>
      <c r="E9" s="6" t="n">
        <v>0.01764705882352941</v>
      </c>
    </row>
    <row r="10">
      <c r="A10" s="7" t="inlineStr">
        <is>
          <t>Singapore</t>
        </is>
      </c>
      <c r="B10" s="8" t="n">
        <v>12</v>
      </c>
      <c r="C10" s="8" t="n">
        <v>174</v>
      </c>
      <c r="D10" s="8" t="n">
        <v>0</v>
      </c>
      <c r="E10" s="9" t="n">
        <v>0</v>
      </c>
    </row>
    <row r="11">
      <c r="A11" s="4" t="inlineStr">
        <is>
          <t>China</t>
        </is>
      </c>
      <c r="B11" s="5" t="n">
        <v>15</v>
      </c>
      <c r="C11" s="5" t="n">
        <v>161</v>
      </c>
      <c r="D11" s="5" t="n">
        <v>2</v>
      </c>
      <c r="E11" s="6" t="n">
        <v>0.0124223602484472</v>
      </c>
    </row>
    <row r="12">
      <c r="A12" s="7" t="inlineStr">
        <is>
          <t>Italy</t>
        </is>
      </c>
      <c r="B12" s="8" t="n">
        <v>13</v>
      </c>
      <c r="C12" s="8" t="n">
        <v>124</v>
      </c>
      <c r="D12" s="8" t="n">
        <v>6</v>
      </c>
      <c r="E12" s="9" t="n">
        <v>0.04838709677419355</v>
      </c>
    </row>
    <row r="13">
      <c r="A13" s="4" t="inlineStr">
        <is>
          <t>Thailand</t>
        </is>
      </c>
      <c r="B13" s="5" t="n">
        <v>9</v>
      </c>
      <c r="C13" s="5" t="n">
        <v>96</v>
      </c>
      <c r="D13" s="5" t="n">
        <v>4</v>
      </c>
      <c r="E13" s="6" t="n">
        <v>0.04166666666666666</v>
      </c>
    </row>
  </sheetData>
  <autoFilter ref="A4:E13"/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0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22" customWidth="1" min="4" max="4"/>
    <col width="14" customWidth="1" min="5" max="5"/>
    <col width="16" customWidth="1" min="6" max="6"/>
    <col width="21" customWidth="1" min="7" max="7"/>
    <col width="14" customWidth="1" min="8" max="8"/>
    <col width="11" customWidth="1" min="9" max="9"/>
    <col width="17" customWidth="1" min="10" max="10"/>
    <col width="17" customWidth="1" min="11" max="11"/>
    <col width="17" customWidth="1" min="12" max="12"/>
    <col width="17" customWidth="1" min="13" max="13"/>
    <col width="12" customWidth="1" min="14" max="14"/>
  </cols>
  <sheetData>
    <row r="1" ht="28" customHeight="1">
      <c r="A1" s="1" t="inlineStr">
        <is>
          <t>CA: Manager Pnl - Business Units Overview</t>
        </is>
      </c>
    </row>
    <row r="2" ht="22" customHeight="1">
      <c r="A2" s="2" t="inlineStr">
        <is>
          <t>Total BUs processed: 136</t>
        </is>
      </c>
    </row>
    <row r="4" ht="34" customHeight="1">
      <c r="A4" s="3" t="inlineStr">
        <is>
          <t>No.</t>
        </is>
      </c>
      <c r="B4" s="3" t="inlineStr">
        <is>
          <t>Country</t>
        </is>
      </c>
      <c r="C4" s="3" t="inlineStr">
        <is>
          <t>Business Unit</t>
        </is>
      </c>
      <c r="D4" s="3" t="inlineStr">
        <is>
          <t>Source File</t>
        </is>
      </c>
      <c r="E4" s="3" t="inlineStr">
        <is>
          <t>Cleaned Pnl</t>
        </is>
      </c>
      <c r="F4" s="3" t="inlineStr">
        <is>
          <t># Total Projects</t>
        </is>
      </c>
      <c r="G4" s="3" t="inlineStr">
        <is>
          <t># Projects GM% &gt; 70%</t>
        </is>
      </c>
      <c r="H4" s="3" t="inlineStr">
        <is>
          <t>High GM Rate</t>
        </is>
      </c>
      <c r="I4" s="3" t="inlineStr">
        <is>
          <t>Currency</t>
        </is>
      </c>
      <c r="J4" s="3" t="inlineStr">
        <is>
          <t>Revenue Local</t>
        </is>
      </c>
      <c r="K4" s="3" t="inlineStr">
        <is>
          <t>GM Local</t>
        </is>
      </c>
      <c r="L4" s="3" t="inlineStr">
        <is>
          <t>Revenue EUR</t>
        </is>
      </c>
      <c r="M4" s="3" t="inlineStr">
        <is>
          <t>GM EUR</t>
        </is>
      </c>
      <c r="N4" s="3" t="inlineStr">
        <is>
          <t>BU GM%</t>
        </is>
      </c>
    </row>
    <row r="5">
      <c r="A5" s="5" t="n">
        <v>1</v>
      </c>
      <c r="B5" s="4" t="inlineStr">
        <is>
          <t>Vietnam</t>
        </is>
      </c>
      <c r="C5" s="4" t="inlineStr">
        <is>
          <t>NGUYEN An</t>
        </is>
      </c>
      <c r="D5" s="5" t="inlineStr">
        <is>
          <t>data (1).xlsx</t>
        </is>
      </c>
      <c r="E5" s="10" t="inlineStr">
        <is>
          <t>Open Pnl</t>
        </is>
      </c>
      <c r="F5" s="11" t="n">
        <v>50</v>
      </c>
      <c r="G5" s="11" t="n">
        <v>0</v>
      </c>
      <c r="H5" s="6" t="n">
        <v>0</v>
      </c>
      <c r="I5" s="5" t="inlineStr">
        <is>
          <t>VND</t>
        </is>
      </c>
      <c r="J5" s="12" t="n">
        <v>645112883.55</v>
      </c>
      <c r="K5" s="12" t="n">
        <v>100866409.73</v>
      </c>
      <c r="L5" s="12" t="n">
        <v>23546.62</v>
      </c>
      <c r="M5" s="12" t="n">
        <v>3681.62</v>
      </c>
      <c r="N5" s="6" t="n">
        <v>0.156355</v>
      </c>
    </row>
    <row r="6">
      <c r="A6" s="8" t="n">
        <v>2</v>
      </c>
      <c r="B6" s="7" t="inlineStr">
        <is>
          <t>Vietnam</t>
        </is>
      </c>
      <c r="C6" s="7" t="inlineStr">
        <is>
          <t>NGO Thao</t>
        </is>
      </c>
      <c r="D6" s="8" t="inlineStr">
        <is>
          <t>data (10).xlsx</t>
        </is>
      </c>
      <c r="E6" s="13" t="inlineStr">
        <is>
          <t>Open Pnl</t>
        </is>
      </c>
      <c r="F6" s="14" t="n">
        <v>95</v>
      </c>
      <c r="G6" s="14" t="n">
        <v>0</v>
      </c>
      <c r="H6" s="9" t="n">
        <v>0</v>
      </c>
      <c r="I6" s="8" t="inlineStr">
        <is>
          <t>VND</t>
        </is>
      </c>
      <c r="J6" s="15" t="n">
        <v>721447268.96</v>
      </c>
      <c r="K6" s="15" t="n">
        <v>112801647.08</v>
      </c>
      <c r="L6" s="15" t="n">
        <v>26332.83</v>
      </c>
      <c r="M6" s="15" t="n">
        <v>4117.26</v>
      </c>
      <c r="N6" s="9" t="n">
        <v>0.156355</v>
      </c>
    </row>
    <row r="7">
      <c r="A7" s="5" t="n">
        <v>3</v>
      </c>
      <c r="B7" s="4" t="inlineStr">
        <is>
          <t>Canada</t>
        </is>
      </c>
      <c r="C7" s="4" t="inlineStr">
        <is>
          <t>ROY Amelie</t>
        </is>
      </c>
      <c r="D7" s="5" t="inlineStr">
        <is>
          <t>data (100).xlsx</t>
        </is>
      </c>
      <c r="E7" s="10" t="inlineStr">
        <is>
          <t>Open Pnl</t>
        </is>
      </c>
      <c r="F7" s="11" t="n">
        <v>88</v>
      </c>
      <c r="G7" s="11" t="n">
        <v>0</v>
      </c>
      <c r="H7" s="6" t="n">
        <v>0</v>
      </c>
      <c r="I7" s="5" t="inlineStr">
        <is>
          <t>CAD</t>
        </is>
      </c>
      <c r="J7" s="12" t="n">
        <v>190944.08</v>
      </c>
      <c r="K7" s="12" t="n">
        <v>30863.56</v>
      </c>
      <c r="L7" s="12" t="n">
        <v>129841.97</v>
      </c>
      <c r="M7" s="12" t="n">
        <v>20987.22</v>
      </c>
      <c r="N7" s="6" t="n">
        <v>0.161637</v>
      </c>
    </row>
    <row r="8">
      <c r="A8" s="8" t="n">
        <v>4</v>
      </c>
      <c r="B8" s="7" t="inlineStr">
        <is>
          <t>Canada</t>
        </is>
      </c>
      <c r="C8" s="7" t="inlineStr">
        <is>
          <t>LEBLANC Marc</t>
        </is>
      </c>
      <c r="D8" s="8" t="inlineStr">
        <is>
          <t>data (101).xlsx</t>
        </is>
      </c>
      <c r="E8" s="13" t="inlineStr">
        <is>
          <t>Open Pnl</t>
        </is>
      </c>
      <c r="F8" s="14" t="n">
        <v>90</v>
      </c>
      <c r="G8" s="14" t="n">
        <v>2</v>
      </c>
      <c r="H8" s="9" t="n">
        <v>0.02222222222222222</v>
      </c>
      <c r="I8" s="8" t="inlineStr">
        <is>
          <t>CAD</t>
        </is>
      </c>
      <c r="J8" s="15" t="n">
        <v>405460.62</v>
      </c>
      <c r="K8" s="15" t="n">
        <v>62183.25</v>
      </c>
      <c r="L8" s="15" t="n">
        <v>275713.22</v>
      </c>
      <c r="M8" s="15" t="n">
        <v>42284.61</v>
      </c>
      <c r="N8" s="9" t="n">
        <v>0.153364</v>
      </c>
    </row>
    <row r="9">
      <c r="A9" s="5" t="n">
        <v>5</v>
      </c>
      <c r="B9" s="4" t="inlineStr">
        <is>
          <t>Canada</t>
        </is>
      </c>
      <c r="C9" s="4" t="inlineStr">
        <is>
          <t>FORTIN Sophie</t>
        </is>
      </c>
      <c r="D9" s="5" t="inlineStr">
        <is>
          <t>data (102).xlsx</t>
        </is>
      </c>
      <c r="E9" s="10" t="inlineStr">
        <is>
          <t>Open Pnl</t>
        </is>
      </c>
      <c r="F9" s="11" t="n">
        <v>92</v>
      </c>
      <c r="G9" s="11" t="n">
        <v>0</v>
      </c>
      <c r="H9" s="6" t="n">
        <v>0</v>
      </c>
      <c r="I9" s="5" t="inlineStr">
        <is>
          <t>CAD</t>
        </is>
      </c>
      <c r="J9" s="12" t="n">
        <v>27178.66</v>
      </c>
      <c r="K9" s="12" t="n">
        <v>4165.51</v>
      </c>
      <c r="L9" s="12" t="n">
        <v>18481.49</v>
      </c>
      <c r="M9" s="12" t="n">
        <v>2832.55</v>
      </c>
      <c r="N9" s="6" t="n">
        <v>0.153264</v>
      </c>
    </row>
    <row r="10">
      <c r="A10" s="8" t="n">
        <v>6</v>
      </c>
      <c r="B10" s="7" t="inlineStr">
        <is>
          <t>Canada</t>
        </is>
      </c>
      <c r="C10" s="7" t="inlineStr">
        <is>
          <t>BERGERON Nicolas</t>
        </is>
      </c>
      <c r="D10" s="8" t="inlineStr">
        <is>
          <t>data (103).xlsx</t>
        </is>
      </c>
      <c r="E10" s="13" t="inlineStr">
        <is>
          <t>Open Pnl</t>
        </is>
      </c>
      <c r="F10" s="14" t="n">
        <v>94</v>
      </c>
      <c r="G10" s="14" t="n">
        <v>0</v>
      </c>
      <c r="H10" s="9" t="n">
        <v>0</v>
      </c>
      <c r="I10" s="8" t="inlineStr">
        <is>
          <t>CAD</t>
        </is>
      </c>
      <c r="J10" s="15" t="n">
        <v>86834.32000000001</v>
      </c>
      <c r="K10" s="15" t="n">
        <v>14073.58</v>
      </c>
      <c r="L10" s="15" t="n">
        <v>59047.34</v>
      </c>
      <c r="M10" s="15" t="n">
        <v>9570.030000000001</v>
      </c>
      <c r="N10" s="9" t="n">
        <v>0.162074</v>
      </c>
    </row>
    <row r="11">
      <c r="A11" s="5" t="n">
        <v>7</v>
      </c>
      <c r="B11" s="4" t="inlineStr">
        <is>
          <t>Canada</t>
        </is>
      </c>
      <c r="C11" s="4" t="inlineStr">
        <is>
          <t>CLOUTIER Emma</t>
        </is>
      </c>
      <c r="D11" s="5" t="inlineStr">
        <is>
          <t>data (104).xlsx</t>
        </is>
      </c>
      <c r="E11" s="10" t="inlineStr">
        <is>
          <t>Open Pnl</t>
        </is>
      </c>
      <c r="F11" s="11" t="n">
        <v>98</v>
      </c>
      <c r="G11" s="11" t="n">
        <v>0</v>
      </c>
      <c r="H11" s="6" t="n">
        <v>0</v>
      </c>
      <c r="I11" s="5" t="inlineStr">
        <is>
          <t>CAD</t>
        </is>
      </c>
      <c r="J11" s="12" t="n">
        <v>242512.81</v>
      </c>
      <c r="K11" s="12" t="n">
        <v>38586.8</v>
      </c>
      <c r="L11" s="12" t="n">
        <v>164908.71</v>
      </c>
      <c r="M11" s="12" t="n">
        <v>26239.02</v>
      </c>
      <c r="N11" s="6" t="n">
        <v>0.159112</v>
      </c>
    </row>
    <row r="12">
      <c r="A12" s="8" t="n">
        <v>8</v>
      </c>
      <c r="B12" s="7" t="inlineStr">
        <is>
          <t>Canada</t>
        </is>
      </c>
      <c r="C12" s="7" t="inlineStr">
        <is>
          <t>DUBE Alexandre</t>
        </is>
      </c>
      <c r="D12" s="8" t="inlineStr">
        <is>
          <t>data (105).xlsx</t>
        </is>
      </c>
      <c r="E12" s="13" t="inlineStr">
        <is>
          <t>Open Pnl</t>
        </is>
      </c>
      <c r="F12" s="14" t="n">
        <v>99</v>
      </c>
      <c r="G12" s="14" t="n">
        <v>0</v>
      </c>
      <c r="H12" s="9" t="n">
        <v>0</v>
      </c>
      <c r="I12" s="8" t="inlineStr">
        <is>
          <t>CAD</t>
        </is>
      </c>
      <c r="J12" s="15" t="n">
        <v>341487.09</v>
      </c>
      <c r="K12" s="15" t="n">
        <v>54773.76</v>
      </c>
      <c r="L12" s="15" t="n">
        <v>232211.22</v>
      </c>
      <c r="M12" s="15" t="n">
        <v>37246.16</v>
      </c>
      <c r="N12" s="9" t="n">
        <v>0.160398</v>
      </c>
    </row>
    <row r="13">
      <c r="A13" s="5" t="n">
        <v>9</v>
      </c>
      <c r="B13" s="4" t="inlineStr">
        <is>
          <t>Canada</t>
        </is>
      </c>
      <c r="C13" s="4" t="inlineStr">
        <is>
          <t>PELLETIER Chloe</t>
        </is>
      </c>
      <c r="D13" s="5" t="inlineStr">
        <is>
          <t>data (106).xlsx</t>
        </is>
      </c>
      <c r="E13" s="10" t="inlineStr">
        <is>
          <t>Open Pnl</t>
        </is>
      </c>
      <c r="F13" s="11" t="n">
        <v>73</v>
      </c>
      <c r="G13" s="11" t="n">
        <v>0</v>
      </c>
      <c r="H13" s="6" t="n">
        <v>0</v>
      </c>
      <c r="I13" s="5" t="inlineStr">
        <is>
          <t>CAD</t>
        </is>
      </c>
      <c r="J13" s="12" t="n">
        <v>290973.86</v>
      </c>
      <c r="K13" s="12" t="n">
        <v>45264.76</v>
      </c>
      <c r="L13" s="12" t="n">
        <v>197862.22</v>
      </c>
      <c r="M13" s="12" t="n">
        <v>30780.04</v>
      </c>
      <c r="N13" s="6" t="n">
        <v>0.155563</v>
      </c>
    </row>
    <row r="14">
      <c r="A14" s="8" t="n">
        <v>10</v>
      </c>
      <c r="B14" s="7" t="inlineStr">
        <is>
          <t>Canada</t>
        </is>
      </c>
      <c r="C14" s="7" t="inlineStr">
        <is>
          <t>MORIN Gabriel</t>
        </is>
      </c>
      <c r="D14" s="8" t="inlineStr">
        <is>
          <t>data (107).xlsx</t>
        </is>
      </c>
      <c r="E14" s="13" t="inlineStr">
        <is>
          <t>Open Pnl</t>
        </is>
      </c>
      <c r="F14" s="14" t="n">
        <v>79</v>
      </c>
      <c r="G14" s="14" t="n">
        <v>1</v>
      </c>
      <c r="H14" s="9" t="n">
        <v>0.01265822784810127</v>
      </c>
      <c r="I14" s="8" t="inlineStr">
        <is>
          <t>CAD</t>
        </is>
      </c>
      <c r="J14" s="15" t="n">
        <v>54713.11</v>
      </c>
      <c r="K14" s="15" t="n">
        <v>9080.879999999999</v>
      </c>
      <c r="L14" s="15" t="n">
        <v>37204.91</v>
      </c>
      <c r="M14" s="15" t="n">
        <v>6175</v>
      </c>
      <c r="N14" s="9" t="n">
        <v>0.165973</v>
      </c>
    </row>
    <row r="15">
      <c r="A15" s="5" t="n">
        <v>11</v>
      </c>
      <c r="B15" s="4" t="inlineStr">
        <is>
          <t>Canada</t>
        </is>
      </c>
      <c r="C15" s="4" t="inlineStr">
        <is>
          <t>LAVOIE Juliette</t>
        </is>
      </c>
      <c r="D15" s="5" t="inlineStr">
        <is>
          <t>data (108).xlsx</t>
        </is>
      </c>
      <c r="E15" s="10" t="inlineStr">
        <is>
          <t>Open Pnl</t>
        </is>
      </c>
      <c r="F15" s="11" t="n">
        <v>83</v>
      </c>
      <c r="G15" s="11" t="n">
        <v>0</v>
      </c>
      <c r="H15" s="6" t="n">
        <v>0</v>
      </c>
      <c r="I15" s="5" t="inlineStr">
        <is>
          <t>CAD</t>
        </is>
      </c>
      <c r="J15" s="12" t="n">
        <v>66862.14999999999</v>
      </c>
      <c r="K15" s="12" t="n">
        <v>10291.63</v>
      </c>
      <c r="L15" s="12" t="n">
        <v>45466.26</v>
      </c>
      <c r="M15" s="12" t="n">
        <v>6998.31</v>
      </c>
      <c r="N15" s="6" t="n">
        <v>0.153923</v>
      </c>
    </row>
    <row r="16">
      <c r="A16" s="8" t="n">
        <v>12</v>
      </c>
      <c r="B16" s="7" t="inlineStr">
        <is>
          <t>Canada</t>
        </is>
      </c>
      <c r="C16" s="7" t="inlineStr">
        <is>
          <t>SIMARD Philippe</t>
        </is>
      </c>
      <c r="D16" s="8" t="inlineStr">
        <is>
          <t>data (109).xlsx</t>
        </is>
      </c>
      <c r="E16" s="13" t="inlineStr">
        <is>
          <t>Open Pnl</t>
        </is>
      </c>
      <c r="F16" s="14" t="n">
        <v>87</v>
      </c>
      <c r="G16" s="14" t="n">
        <v>0</v>
      </c>
      <c r="H16" s="9" t="n">
        <v>0</v>
      </c>
      <c r="I16" s="8" t="inlineStr">
        <is>
          <t>CAD</t>
        </is>
      </c>
      <c r="J16" s="15" t="n">
        <v>147452.04</v>
      </c>
      <c r="K16" s="15" t="n">
        <v>22957.68</v>
      </c>
      <c r="L16" s="15" t="n">
        <v>100267.39</v>
      </c>
      <c r="M16" s="15" t="n">
        <v>15611.22</v>
      </c>
      <c r="N16" s="9" t="n">
        <v>0.155696</v>
      </c>
    </row>
    <row r="17">
      <c r="A17" s="5" t="n">
        <v>13</v>
      </c>
      <c r="B17" s="4" t="inlineStr">
        <is>
          <t>Vietnam</t>
        </is>
      </c>
      <c r="C17" s="4" t="inlineStr">
        <is>
          <t>PHAN Nam</t>
        </is>
      </c>
      <c r="D17" s="5" t="inlineStr">
        <is>
          <t>data (11).xlsx</t>
        </is>
      </c>
      <c r="E17" s="10" t="inlineStr">
        <is>
          <t>Open Pnl</t>
        </is>
      </c>
      <c r="F17" s="11" t="n">
        <v>100</v>
      </c>
      <c r="G17" s="11" t="n">
        <v>0</v>
      </c>
      <c r="H17" s="6" t="n">
        <v>0</v>
      </c>
      <c r="I17" s="5" t="inlineStr">
        <is>
          <t>VND</t>
        </is>
      </c>
      <c r="J17" s="12" t="n">
        <v>1876501167.31</v>
      </c>
      <c r="K17" s="12" t="n">
        <v>293536172.08</v>
      </c>
      <c r="L17" s="12" t="n">
        <v>68492.28999999999</v>
      </c>
      <c r="M17" s="12" t="n">
        <v>10714.07</v>
      </c>
      <c r="N17" s="6" t="n">
        <v>0.156427</v>
      </c>
    </row>
    <row r="18">
      <c r="A18" s="8" t="n">
        <v>14</v>
      </c>
      <c r="B18" s="7" t="inlineStr">
        <is>
          <t>Canada</t>
        </is>
      </c>
      <c r="C18" s="7" t="inlineStr">
        <is>
          <t>POULIN Audrey</t>
        </is>
      </c>
      <c r="D18" s="8" t="inlineStr">
        <is>
          <t>data (110).xlsx</t>
        </is>
      </c>
      <c r="E18" s="13" t="inlineStr">
        <is>
          <t>Open Pnl</t>
        </is>
      </c>
      <c r="F18" s="14" t="n">
        <v>91</v>
      </c>
      <c r="G18" s="14" t="n">
        <v>0</v>
      </c>
      <c r="H18" s="9" t="n">
        <v>0</v>
      </c>
      <c r="I18" s="8" t="inlineStr">
        <is>
          <t>CAD</t>
        </is>
      </c>
      <c r="J18" s="15" t="n">
        <v>61619</v>
      </c>
      <c r="K18" s="15" t="n">
        <v>9284.469999999999</v>
      </c>
      <c r="L18" s="15" t="n">
        <v>41900.92</v>
      </c>
      <c r="M18" s="15" t="n">
        <v>6313.44</v>
      </c>
      <c r="N18" s="9" t="n">
        <v>0.150675</v>
      </c>
    </row>
    <row r="19">
      <c r="A19" s="5" t="n">
        <v>15</v>
      </c>
      <c r="B19" s="4" t="inlineStr">
        <is>
          <t>Canada</t>
        </is>
      </c>
      <c r="C19" s="4" t="inlineStr">
        <is>
          <t>BEAULIEU Thomas</t>
        </is>
      </c>
      <c r="D19" s="5" t="inlineStr">
        <is>
          <t>data (111).xlsx</t>
        </is>
      </c>
      <c r="E19" s="10" t="inlineStr">
        <is>
          <t>Open Pnl</t>
        </is>
      </c>
      <c r="F19" s="11" t="n">
        <v>95</v>
      </c>
      <c r="G19" s="11" t="n">
        <v>0</v>
      </c>
      <c r="H19" s="6" t="n">
        <v>0</v>
      </c>
      <c r="I19" s="5" t="inlineStr">
        <is>
          <t>CAD</t>
        </is>
      </c>
      <c r="J19" s="12" t="n">
        <v>188524.21</v>
      </c>
      <c r="K19" s="12" t="n">
        <v>28725.77</v>
      </c>
      <c r="L19" s="12" t="n">
        <v>128196.46</v>
      </c>
      <c r="M19" s="12" t="n">
        <v>19533.52</v>
      </c>
      <c r="N19" s="6" t="n">
        <v>0.152372</v>
      </c>
    </row>
    <row r="20">
      <c r="A20" s="8" t="n">
        <v>16</v>
      </c>
      <c r="B20" s="7" t="inlineStr">
        <is>
          <t>Canada</t>
        </is>
      </c>
      <c r="C20" s="7" t="inlineStr">
        <is>
          <t>OUELLETTE Emilie</t>
        </is>
      </c>
      <c r="D20" s="8" t="inlineStr">
        <is>
          <t>data (112).xlsx</t>
        </is>
      </c>
      <c r="E20" s="13" t="inlineStr">
        <is>
          <t>Open Pnl</t>
        </is>
      </c>
      <c r="F20" s="14" t="n">
        <v>100</v>
      </c>
      <c r="G20" s="14" t="n">
        <v>1</v>
      </c>
      <c r="H20" s="9" t="n">
        <v>0.01</v>
      </c>
      <c r="I20" s="8" t="inlineStr">
        <is>
          <t>CAD</t>
        </is>
      </c>
      <c r="J20" s="15" t="n">
        <v>157773.24</v>
      </c>
      <c r="K20" s="15" t="n">
        <v>24169.2</v>
      </c>
      <c r="L20" s="15" t="n">
        <v>107285.8</v>
      </c>
      <c r="M20" s="15" t="n">
        <v>16435.06</v>
      </c>
      <c r="N20" s="9" t="n">
        <v>0.153189</v>
      </c>
    </row>
    <row r="21">
      <c r="A21" s="5" t="n">
        <v>17</v>
      </c>
      <c r="B21" s="4" t="inlineStr">
        <is>
          <t>Canada</t>
        </is>
      </c>
      <c r="C21" s="4" t="inlineStr">
        <is>
          <t>GIROUX Vincent</t>
        </is>
      </c>
      <c r="D21" s="5" t="inlineStr">
        <is>
          <t>data (113).xlsx</t>
        </is>
      </c>
      <c r="E21" s="10" t="inlineStr">
        <is>
          <t>Open Pnl</t>
        </is>
      </c>
      <c r="F21" s="11" t="n">
        <v>104</v>
      </c>
      <c r="G21" s="11" t="n">
        <v>2</v>
      </c>
      <c r="H21" s="6" t="n">
        <v>0.01923076923076923</v>
      </c>
      <c r="I21" s="5" t="inlineStr">
        <is>
          <t>CAD</t>
        </is>
      </c>
      <c r="J21" s="12" t="n">
        <v>242070.79</v>
      </c>
      <c r="K21" s="12" t="n">
        <v>36924.24</v>
      </c>
      <c r="L21" s="12" t="n">
        <v>164608.14</v>
      </c>
      <c r="M21" s="12" t="n">
        <v>25108.48</v>
      </c>
      <c r="N21" s="6" t="n">
        <v>0.152535</v>
      </c>
    </row>
    <row r="22">
      <c r="A22" s="8" t="n">
        <v>18</v>
      </c>
      <c r="B22" s="7" t="inlineStr">
        <is>
          <t>Canada</t>
        </is>
      </c>
      <c r="C22" s="7" t="inlineStr">
        <is>
          <t>CARON Florence</t>
        </is>
      </c>
      <c r="D22" s="8" t="inlineStr">
        <is>
          <t>data (114).xlsx</t>
        </is>
      </c>
      <c r="E22" s="13" t="inlineStr">
        <is>
          <t>Open Pnl</t>
        </is>
      </c>
      <c r="F22" s="14" t="n">
        <v>108</v>
      </c>
      <c r="G22" s="14" t="n">
        <v>1</v>
      </c>
      <c r="H22" s="9" t="n">
        <v>0.009259259259259259</v>
      </c>
      <c r="I22" s="8" t="inlineStr">
        <is>
          <t>CAD</t>
        </is>
      </c>
      <c r="J22" s="15" t="n">
        <v>126004.38</v>
      </c>
      <c r="K22" s="15" t="n">
        <v>20361.51</v>
      </c>
      <c r="L22" s="15" t="n">
        <v>85682.98</v>
      </c>
      <c r="M22" s="15" t="n">
        <v>13845.83</v>
      </c>
      <c r="N22" s="9" t="n">
        <v>0.161594</v>
      </c>
    </row>
    <row r="23">
      <c r="A23" s="5" t="n">
        <v>19</v>
      </c>
      <c r="B23" s="4" t="inlineStr">
        <is>
          <t>Canada</t>
        </is>
      </c>
      <c r="C23" s="4" t="inlineStr">
        <is>
          <t>MERCIER Antoine</t>
        </is>
      </c>
      <c r="D23" s="5" t="inlineStr">
        <is>
          <t>data (115).xlsx</t>
        </is>
      </c>
      <c r="E23" s="10" t="inlineStr">
        <is>
          <t>Open Pnl</t>
        </is>
      </c>
      <c r="F23" s="11" t="n">
        <v>112</v>
      </c>
      <c r="G23" s="11" t="n">
        <v>0</v>
      </c>
      <c r="H23" s="6" t="n">
        <v>0</v>
      </c>
      <c r="I23" s="5" t="inlineStr">
        <is>
          <t>CAD</t>
        </is>
      </c>
      <c r="J23" s="12" t="n">
        <v>147395.83</v>
      </c>
      <c r="K23" s="12" t="n">
        <v>23303.12</v>
      </c>
      <c r="L23" s="12" t="n">
        <v>100229.16</v>
      </c>
      <c r="M23" s="12" t="n">
        <v>15846.12</v>
      </c>
      <c r="N23" s="6" t="n">
        <v>0.158099</v>
      </c>
    </row>
    <row r="24">
      <c r="A24" s="8" t="n">
        <v>20</v>
      </c>
      <c r="B24" s="7" t="inlineStr">
        <is>
          <t>Japan</t>
        </is>
      </c>
      <c r="C24" s="7" t="inlineStr">
        <is>
          <t>SATO Haruto</t>
        </is>
      </c>
      <c r="D24" s="8" t="inlineStr">
        <is>
          <t>data (116).xlsx</t>
        </is>
      </c>
      <c r="E24" s="13" t="inlineStr">
        <is>
          <t>Open Pnl</t>
        </is>
      </c>
      <c r="F24" s="14" t="n">
        <v>19</v>
      </c>
      <c r="G24" s="14" t="n">
        <v>1</v>
      </c>
      <c r="H24" s="9" t="n">
        <v>0.05263157894736842</v>
      </c>
      <c r="I24" s="8" t="inlineStr">
        <is>
          <t>JPY</t>
        </is>
      </c>
      <c r="J24" s="15" t="n">
        <v>43214213.33</v>
      </c>
      <c r="K24" s="15" t="n">
        <v>7517576.47</v>
      </c>
      <c r="L24" s="15" t="n">
        <v>267928.12</v>
      </c>
      <c r="M24" s="15" t="n">
        <v>46608.97</v>
      </c>
      <c r="N24" s="9" t="n">
        <v>0.173961</v>
      </c>
    </row>
    <row r="25">
      <c r="A25" s="5" t="n">
        <v>21</v>
      </c>
      <c r="B25" s="4" t="inlineStr">
        <is>
          <t>Japan</t>
        </is>
      </c>
      <c r="C25" s="4" t="inlineStr">
        <is>
          <t>SUZUKI Yuki</t>
        </is>
      </c>
      <c r="D25" s="5" t="inlineStr">
        <is>
          <t>data (117).xlsx</t>
        </is>
      </c>
      <c r="E25" s="10" t="inlineStr">
        <is>
          <t>Open Pnl</t>
        </is>
      </c>
      <c r="F25" s="11" t="n">
        <v>34</v>
      </c>
      <c r="G25" s="11" t="n">
        <v>0</v>
      </c>
      <c r="H25" s="6" t="n">
        <v>0</v>
      </c>
      <c r="I25" s="5" t="inlineStr">
        <is>
          <t>JPY</t>
        </is>
      </c>
      <c r="J25" s="12" t="n">
        <v>20296897.44</v>
      </c>
      <c r="K25" s="12" t="n">
        <v>2946934.54</v>
      </c>
      <c r="L25" s="12" t="n">
        <v>125840.76</v>
      </c>
      <c r="M25" s="12" t="n">
        <v>18270.99</v>
      </c>
      <c r="N25" s="6" t="n">
        <v>0.145191</v>
      </c>
    </row>
    <row r="26">
      <c r="A26" s="8" t="n">
        <v>22</v>
      </c>
      <c r="B26" s="7" t="inlineStr">
        <is>
          <t>Japan</t>
        </is>
      </c>
      <c r="C26" s="7" t="inlineStr">
        <is>
          <t>TANAKA Sota</t>
        </is>
      </c>
      <c r="D26" s="8" t="inlineStr">
        <is>
          <t>data (118).xlsx</t>
        </is>
      </c>
      <c r="E26" s="13" t="inlineStr">
        <is>
          <t>Open Pnl</t>
        </is>
      </c>
      <c r="F26" s="14" t="n">
        <v>50</v>
      </c>
      <c r="G26" s="14" t="n">
        <v>2</v>
      </c>
      <c r="H26" s="9" t="n">
        <v>0.04</v>
      </c>
      <c r="I26" s="8" t="inlineStr">
        <is>
          <t>JPY</t>
        </is>
      </c>
      <c r="J26" s="15" t="n">
        <v>21168996.47</v>
      </c>
      <c r="K26" s="15" t="n">
        <v>3717828.65</v>
      </c>
      <c r="L26" s="15" t="n">
        <v>131247.78</v>
      </c>
      <c r="M26" s="15" t="n">
        <v>23050.54</v>
      </c>
      <c r="N26" s="9" t="n">
        <v>0.175626</v>
      </c>
    </row>
    <row r="27">
      <c r="A27" s="5" t="n">
        <v>23</v>
      </c>
      <c r="B27" s="4" t="inlineStr">
        <is>
          <t>Japan</t>
        </is>
      </c>
      <c r="C27" s="4" t="inlineStr">
        <is>
          <t>YAMAMOTO Aoi</t>
        </is>
      </c>
      <c r="D27" s="5" t="inlineStr">
        <is>
          <t>data (119).xlsx</t>
        </is>
      </c>
      <c r="E27" s="10" t="inlineStr">
        <is>
          <t>Open Pnl</t>
        </is>
      </c>
      <c r="F27" s="11" t="n">
        <v>64</v>
      </c>
      <c r="G27" s="11" t="n">
        <v>1</v>
      </c>
      <c r="H27" s="6" t="n">
        <v>0.015625</v>
      </c>
      <c r="I27" s="5" t="inlineStr">
        <is>
          <t>JPY</t>
        </is>
      </c>
      <c r="J27" s="12" t="n">
        <v>10650485.36</v>
      </c>
      <c r="K27" s="12" t="n">
        <v>1683009.07</v>
      </c>
      <c r="L27" s="12" t="n">
        <v>66033.00999999999</v>
      </c>
      <c r="M27" s="12" t="n">
        <v>10434.66</v>
      </c>
      <c r="N27" s="6" t="n">
        <v>0.158022</v>
      </c>
    </row>
    <row r="28">
      <c r="A28" s="8" t="n">
        <v>24</v>
      </c>
      <c r="B28" s="7" t="inlineStr">
        <is>
          <t>Vietnam</t>
        </is>
      </c>
      <c r="C28" s="7" t="inlineStr">
        <is>
          <t>HUYNH Lan</t>
        </is>
      </c>
      <c r="D28" s="8" t="inlineStr">
        <is>
          <t>data (12).xlsx</t>
        </is>
      </c>
      <c r="E28" s="13" t="inlineStr">
        <is>
          <t>Open Pnl</t>
        </is>
      </c>
      <c r="F28" s="14" t="n">
        <v>105</v>
      </c>
      <c r="G28" s="14" t="n">
        <v>2</v>
      </c>
      <c r="H28" s="9" t="n">
        <v>0.01904761904761905</v>
      </c>
      <c r="I28" s="8" t="inlineStr">
        <is>
          <t>VND</t>
        </is>
      </c>
      <c r="J28" s="15" t="n">
        <v>2232202286.3</v>
      </c>
      <c r="K28" s="15" t="n">
        <v>360845036.05</v>
      </c>
      <c r="L28" s="15" t="n">
        <v>81475.38</v>
      </c>
      <c r="M28" s="15" t="n">
        <v>13170.84</v>
      </c>
      <c r="N28" s="9" t="n">
        <v>0.161654</v>
      </c>
    </row>
    <row r="29">
      <c r="A29" s="5" t="n">
        <v>25</v>
      </c>
      <c r="B29" s="4" t="inlineStr">
        <is>
          <t>Japan</t>
        </is>
      </c>
      <c r="C29" s="4" t="inlineStr">
        <is>
          <t>WATANABE Ren</t>
        </is>
      </c>
      <c r="D29" s="5" t="inlineStr">
        <is>
          <t>data (120).xlsx</t>
        </is>
      </c>
      <c r="E29" s="10" t="inlineStr">
        <is>
          <t>Open Pnl</t>
        </is>
      </c>
      <c r="F29" s="11" t="n">
        <v>79</v>
      </c>
      <c r="G29" s="11" t="n">
        <v>2</v>
      </c>
      <c r="H29" s="6" t="n">
        <v>0.02531645569620253</v>
      </c>
      <c r="I29" s="5" t="inlineStr">
        <is>
          <t>JPY</t>
        </is>
      </c>
      <c r="J29" s="12" t="n">
        <v>14779940.66</v>
      </c>
      <c r="K29" s="12" t="n">
        <v>2187545.09</v>
      </c>
      <c r="L29" s="12" t="n">
        <v>91635.63</v>
      </c>
      <c r="M29" s="12" t="n">
        <v>13562.78</v>
      </c>
      <c r="N29" s="6" t="n">
        <v>0.148008</v>
      </c>
    </row>
    <row r="30">
      <c r="A30" s="8" t="n">
        <v>26</v>
      </c>
      <c r="B30" s="7" t="inlineStr">
        <is>
          <t>Japan</t>
        </is>
      </c>
      <c r="C30" s="7" t="inlineStr">
        <is>
          <t>NAKAMURA Hina</t>
        </is>
      </c>
      <c r="D30" s="8" t="inlineStr">
        <is>
          <t>data (121).xlsx</t>
        </is>
      </c>
      <c r="E30" s="13" t="inlineStr">
        <is>
          <t>Open Pnl</t>
        </is>
      </c>
      <c r="F30" s="14" t="n">
        <v>94</v>
      </c>
      <c r="G30" s="14" t="n">
        <v>0</v>
      </c>
      <c r="H30" s="9" t="n">
        <v>0</v>
      </c>
      <c r="I30" s="8" t="inlineStr">
        <is>
          <t>JPY</t>
        </is>
      </c>
      <c r="J30" s="15" t="n">
        <v>25362046</v>
      </c>
      <c r="K30" s="15" t="n">
        <v>3888236.02</v>
      </c>
      <c r="L30" s="15" t="n">
        <v>157244.69</v>
      </c>
      <c r="M30" s="15" t="n">
        <v>24107.06</v>
      </c>
      <c r="N30" s="9" t="n">
        <v>0.153309</v>
      </c>
    </row>
    <row r="31">
      <c r="A31" s="5" t="n">
        <v>27</v>
      </c>
      <c r="B31" s="4" t="inlineStr">
        <is>
          <t>China</t>
        </is>
      </c>
      <c r="C31" s="4" t="inlineStr">
        <is>
          <t>LI Wei</t>
        </is>
      </c>
      <c r="D31" s="5" t="inlineStr">
        <is>
          <t>data (122).xlsx</t>
        </is>
      </c>
      <c r="E31" s="10" t="inlineStr">
        <is>
          <t>Open Pnl</t>
        </is>
      </c>
      <c r="F31" s="11" t="n">
        <v>4</v>
      </c>
      <c r="G31" s="11" t="n">
        <v>0</v>
      </c>
      <c r="H31" s="6" t="n">
        <v>0</v>
      </c>
      <c r="I31" s="5" t="inlineStr">
        <is>
          <t>CNY</t>
        </is>
      </c>
      <c r="J31" s="12" t="n">
        <v>413634.07</v>
      </c>
      <c r="K31" s="12" t="n">
        <v>72294.7</v>
      </c>
      <c r="L31" s="12" t="n">
        <v>52945.16</v>
      </c>
      <c r="M31" s="12" t="n">
        <v>9253.719999999999</v>
      </c>
      <c r="N31" s="6" t="n">
        <v>0.174779</v>
      </c>
    </row>
    <row r="32">
      <c r="A32" s="8" t="n">
        <v>28</v>
      </c>
      <c r="B32" s="7" t="inlineStr">
        <is>
          <t>China</t>
        </is>
      </c>
      <c r="C32" s="7" t="inlineStr">
        <is>
          <t>WANG Fang</t>
        </is>
      </c>
      <c r="D32" s="8" t="inlineStr">
        <is>
          <t>data (123).xlsx</t>
        </is>
      </c>
      <c r="E32" s="13" t="inlineStr">
        <is>
          <t>Open Pnl</t>
        </is>
      </c>
      <c r="F32" s="14" t="n">
        <v>5</v>
      </c>
      <c r="G32" s="14" t="n">
        <v>0</v>
      </c>
      <c r="H32" s="9" t="n">
        <v>0</v>
      </c>
      <c r="I32" s="8" t="inlineStr">
        <is>
          <t>CNY</t>
        </is>
      </c>
      <c r="J32" s="15" t="n">
        <v>811939.98</v>
      </c>
      <c r="K32" s="15" t="n">
        <v>126315.54</v>
      </c>
      <c r="L32" s="15" t="n">
        <v>103928.32</v>
      </c>
      <c r="M32" s="15" t="n">
        <v>16168.39</v>
      </c>
      <c r="N32" s="9" t="n">
        <v>0.155573</v>
      </c>
    </row>
    <row r="33">
      <c r="A33" s="5" t="n">
        <v>29</v>
      </c>
      <c r="B33" s="4" t="inlineStr">
        <is>
          <t>China</t>
        </is>
      </c>
      <c r="C33" s="4" t="inlineStr">
        <is>
          <t>ZHANG Lei</t>
        </is>
      </c>
      <c r="D33" s="5" t="inlineStr">
        <is>
          <t>data (124).xlsx</t>
        </is>
      </c>
      <c r="E33" s="10" t="inlineStr">
        <is>
          <t>Open Pnl</t>
        </is>
      </c>
      <c r="F33" s="11" t="n">
        <v>6</v>
      </c>
      <c r="G33" s="11" t="n">
        <v>0</v>
      </c>
      <c r="H33" s="6" t="n">
        <v>0</v>
      </c>
      <c r="I33" s="5" t="inlineStr">
        <is>
          <t>CNY</t>
        </is>
      </c>
      <c r="J33" s="12" t="n">
        <v>1183265.91</v>
      </c>
      <c r="K33" s="12" t="n">
        <v>177071.56</v>
      </c>
      <c r="L33" s="12" t="n">
        <v>151458.04</v>
      </c>
      <c r="M33" s="12" t="n">
        <v>22665.16</v>
      </c>
      <c r="N33" s="6" t="n">
        <v>0.149646</v>
      </c>
    </row>
    <row r="34">
      <c r="A34" s="8" t="n">
        <v>30</v>
      </c>
      <c r="B34" s="7" t="inlineStr">
        <is>
          <t>China</t>
        </is>
      </c>
      <c r="C34" s="7" t="inlineStr">
        <is>
          <t>LIU Yang</t>
        </is>
      </c>
      <c r="D34" s="8" t="inlineStr">
        <is>
          <t>data (125).xlsx</t>
        </is>
      </c>
      <c r="E34" s="13" t="inlineStr">
        <is>
          <t>Open Pnl</t>
        </is>
      </c>
      <c r="F34" s="14" t="n">
        <v>7</v>
      </c>
      <c r="G34" s="14" t="n">
        <v>0</v>
      </c>
      <c r="H34" s="9" t="n">
        <v>0</v>
      </c>
      <c r="I34" s="8" t="inlineStr">
        <is>
          <t>CNY</t>
        </is>
      </c>
      <c r="J34" s="15" t="n">
        <v>969472.09</v>
      </c>
      <c r="K34" s="15" t="n">
        <v>153571.25</v>
      </c>
      <c r="L34" s="15" t="n">
        <v>124092.43</v>
      </c>
      <c r="M34" s="15" t="n">
        <v>19657.12</v>
      </c>
      <c r="N34" s="9" t="n">
        <v>0.158407</v>
      </c>
    </row>
    <row r="35">
      <c r="A35" s="5" t="n">
        <v>31</v>
      </c>
      <c r="B35" s="4" t="inlineStr">
        <is>
          <t>China</t>
        </is>
      </c>
      <c r="C35" s="4" t="inlineStr">
        <is>
          <t>CHEN Ming</t>
        </is>
      </c>
      <c r="D35" s="5" t="inlineStr">
        <is>
          <t>data (126).xlsx</t>
        </is>
      </c>
      <c r="E35" s="10" t="inlineStr">
        <is>
          <t>Open Pnl</t>
        </is>
      </c>
      <c r="F35" s="11" t="n">
        <v>7</v>
      </c>
      <c r="G35" s="11" t="n">
        <v>0</v>
      </c>
      <c r="H35" s="6" t="n">
        <v>0</v>
      </c>
      <c r="I35" s="5" t="inlineStr">
        <is>
          <t>CNY</t>
        </is>
      </c>
      <c r="J35" s="12" t="n">
        <v>273810.16</v>
      </c>
      <c r="K35" s="12" t="n">
        <v>41975.65</v>
      </c>
      <c r="L35" s="12" t="n">
        <v>35047.7</v>
      </c>
      <c r="M35" s="12" t="n">
        <v>5372.88</v>
      </c>
      <c r="N35" s="6" t="n">
        <v>0.153302</v>
      </c>
    </row>
    <row r="36">
      <c r="A36" s="8" t="n">
        <v>32</v>
      </c>
      <c r="B36" s="7" t="inlineStr">
        <is>
          <t>China</t>
        </is>
      </c>
      <c r="C36" s="7" t="inlineStr">
        <is>
          <t>YANG Jie</t>
        </is>
      </c>
      <c r="D36" s="8" t="inlineStr">
        <is>
          <t>data (127).xlsx</t>
        </is>
      </c>
      <c r="E36" s="13" t="inlineStr">
        <is>
          <t>Open Pnl</t>
        </is>
      </c>
      <c r="F36" s="14" t="n">
        <v>9</v>
      </c>
      <c r="G36" s="14" t="n">
        <v>0</v>
      </c>
      <c r="H36" s="9" t="n">
        <v>0</v>
      </c>
      <c r="I36" s="8" t="inlineStr">
        <is>
          <t>CNY</t>
        </is>
      </c>
      <c r="J36" s="15" t="n">
        <v>535452.8199999999</v>
      </c>
      <c r="K36" s="15" t="n">
        <v>92806.83</v>
      </c>
      <c r="L36" s="15" t="n">
        <v>68537.96000000001</v>
      </c>
      <c r="M36" s="15" t="n">
        <v>11879.27</v>
      </c>
      <c r="N36" s="9" t="n">
        <v>0.173324</v>
      </c>
    </row>
    <row r="37">
      <c r="A37" s="5" t="n">
        <v>33</v>
      </c>
      <c r="B37" s="4" t="inlineStr">
        <is>
          <t>China</t>
        </is>
      </c>
      <c r="C37" s="4" t="inlineStr">
        <is>
          <t>HUANG Wei</t>
        </is>
      </c>
      <c r="D37" s="5" t="inlineStr">
        <is>
          <t>data (128).xlsx</t>
        </is>
      </c>
      <c r="E37" s="10" t="inlineStr">
        <is>
          <t>Open Pnl</t>
        </is>
      </c>
      <c r="F37" s="11" t="n">
        <v>9</v>
      </c>
      <c r="G37" s="11" t="n">
        <v>0</v>
      </c>
      <c r="H37" s="6" t="n">
        <v>0</v>
      </c>
      <c r="I37" s="5" t="inlineStr">
        <is>
          <t>CNY</t>
        </is>
      </c>
      <c r="J37" s="12" t="n">
        <v>259265.96</v>
      </c>
      <c r="K37" s="12" t="n">
        <v>39072.32</v>
      </c>
      <c r="L37" s="12" t="n">
        <v>33186.04</v>
      </c>
      <c r="M37" s="12" t="n">
        <v>5001.26</v>
      </c>
      <c r="N37" s="6" t="n">
        <v>0.150704</v>
      </c>
    </row>
    <row r="38">
      <c r="A38" s="8" t="n">
        <v>34</v>
      </c>
      <c r="B38" s="7" t="inlineStr">
        <is>
          <t>China</t>
        </is>
      </c>
      <c r="C38" s="7" t="inlineStr">
        <is>
          <t>ZHAO Xin</t>
        </is>
      </c>
      <c r="D38" s="8" t="inlineStr">
        <is>
          <t>data (129).xlsx</t>
        </is>
      </c>
      <c r="E38" s="13" t="inlineStr">
        <is>
          <t>Open Pnl</t>
        </is>
      </c>
      <c r="F38" s="14" t="n">
        <v>11</v>
      </c>
      <c r="G38" s="14" t="n">
        <v>0</v>
      </c>
      <c r="H38" s="9" t="n">
        <v>0</v>
      </c>
      <c r="I38" s="8" t="inlineStr">
        <is>
          <t>CNY</t>
        </is>
      </c>
      <c r="J38" s="15" t="n">
        <v>368009.69</v>
      </c>
      <c r="K38" s="15" t="n">
        <v>60408.88</v>
      </c>
      <c r="L38" s="15" t="n">
        <v>47105.24</v>
      </c>
      <c r="M38" s="15" t="n">
        <v>7732.34</v>
      </c>
      <c r="N38" s="9" t="n">
        <v>0.16415</v>
      </c>
    </row>
    <row r="39">
      <c r="A39" s="5" t="n">
        <v>35</v>
      </c>
      <c r="B39" s="4" t="inlineStr">
        <is>
          <t>Vietnam</t>
        </is>
      </c>
      <c r="C39" s="4" t="inlineStr">
        <is>
          <t>TRUONG Bao</t>
        </is>
      </c>
      <c r="D39" s="5" t="inlineStr">
        <is>
          <t>data (13).xlsx</t>
        </is>
      </c>
      <c r="E39" s="10" t="inlineStr">
        <is>
          <t>Open Pnl</t>
        </is>
      </c>
      <c r="F39" s="11" t="n">
        <v>109</v>
      </c>
      <c r="G39" s="11" t="n">
        <v>0</v>
      </c>
      <c r="H39" s="6" t="n">
        <v>0</v>
      </c>
      <c r="I39" s="5" t="inlineStr">
        <is>
          <t>VND</t>
        </is>
      </c>
      <c r="J39" s="12" t="n">
        <v>628903468.29</v>
      </c>
      <c r="K39" s="12" t="n">
        <v>98331991.98</v>
      </c>
      <c r="L39" s="12" t="n">
        <v>22954.98</v>
      </c>
      <c r="M39" s="12" t="n">
        <v>3589.12</v>
      </c>
      <c r="N39" s="6" t="n">
        <v>0.156355</v>
      </c>
    </row>
    <row r="40">
      <c r="A40" s="8" t="n">
        <v>36</v>
      </c>
      <c r="B40" s="7" t="inlineStr">
        <is>
          <t>China</t>
        </is>
      </c>
      <c r="C40" s="7" t="inlineStr">
        <is>
          <t>WU Jing</t>
        </is>
      </c>
      <c r="D40" s="8" t="inlineStr">
        <is>
          <t>data (130).xlsx</t>
        </is>
      </c>
      <c r="E40" s="13" t="inlineStr">
        <is>
          <t>Open Pnl</t>
        </is>
      </c>
      <c r="F40" s="14" t="n">
        <v>12</v>
      </c>
      <c r="G40" s="14" t="n">
        <v>1</v>
      </c>
      <c r="H40" s="9" t="n">
        <v>0.08333333333333333</v>
      </c>
      <c r="I40" s="8" t="inlineStr">
        <is>
          <t>CNY</t>
        </is>
      </c>
      <c r="J40" s="15" t="n">
        <v>188397.32</v>
      </c>
      <c r="K40" s="15" t="n">
        <v>31849.02</v>
      </c>
      <c r="L40" s="15" t="n">
        <v>24114.86</v>
      </c>
      <c r="M40" s="15" t="n">
        <v>4076.67</v>
      </c>
      <c r="N40" s="9" t="n">
        <v>0.169052</v>
      </c>
    </row>
    <row r="41">
      <c r="A41" s="5" t="n">
        <v>37</v>
      </c>
      <c r="B41" s="4" t="inlineStr">
        <is>
          <t>China</t>
        </is>
      </c>
      <c r="C41" s="4" t="inlineStr">
        <is>
          <t>ZHOU Hao</t>
        </is>
      </c>
      <c r="D41" s="5" t="inlineStr">
        <is>
          <t>data (131).xlsx</t>
        </is>
      </c>
      <c r="E41" s="10" t="inlineStr">
        <is>
          <t>Open Pnl</t>
        </is>
      </c>
      <c r="F41" s="11" t="n">
        <v>12</v>
      </c>
      <c r="G41" s="11" t="n">
        <v>0</v>
      </c>
      <c r="H41" s="6" t="n">
        <v>0</v>
      </c>
      <c r="I41" s="5" t="inlineStr">
        <is>
          <t>CNY</t>
        </is>
      </c>
      <c r="J41" s="12" t="n">
        <v>885841.1899999999</v>
      </c>
      <c r="K41" s="12" t="n">
        <v>144866.68</v>
      </c>
      <c r="L41" s="12" t="n">
        <v>113387.67</v>
      </c>
      <c r="M41" s="12" t="n">
        <v>18542.94</v>
      </c>
      <c r="N41" s="6" t="n">
        <v>0.163536</v>
      </c>
    </row>
    <row r="42">
      <c r="A42" s="8" t="n">
        <v>38</v>
      </c>
      <c r="B42" s="7" t="inlineStr">
        <is>
          <t>China</t>
        </is>
      </c>
      <c r="C42" s="7" t="inlineStr">
        <is>
          <t>XU Li</t>
        </is>
      </c>
      <c r="D42" s="8" t="inlineStr">
        <is>
          <t>data (132).xlsx</t>
        </is>
      </c>
      <c r="E42" s="13" t="inlineStr">
        <is>
          <t>Open Pnl</t>
        </is>
      </c>
      <c r="F42" s="14" t="n">
        <v>13</v>
      </c>
      <c r="G42" s="14" t="n">
        <v>0</v>
      </c>
      <c r="H42" s="9" t="n">
        <v>0</v>
      </c>
      <c r="I42" s="8" t="inlineStr">
        <is>
          <t>CNY</t>
        </is>
      </c>
      <c r="J42" s="15" t="n">
        <v>1112918.81</v>
      </c>
      <c r="K42" s="15" t="n">
        <v>187724.78</v>
      </c>
      <c r="L42" s="15" t="n">
        <v>142453.61</v>
      </c>
      <c r="M42" s="15" t="n">
        <v>24028.77</v>
      </c>
      <c r="N42" s="9" t="n">
        <v>0.168678</v>
      </c>
    </row>
    <row r="43">
      <c r="A43" s="5" t="n">
        <v>39</v>
      </c>
      <c r="B43" s="4" t="inlineStr">
        <is>
          <t>China</t>
        </is>
      </c>
      <c r="C43" s="4" t="inlineStr">
        <is>
          <t>SUN Qiang</t>
        </is>
      </c>
      <c r="D43" s="5" t="inlineStr">
        <is>
          <t>data (133).xlsx</t>
        </is>
      </c>
      <c r="E43" s="10" t="inlineStr">
        <is>
          <t>Open Pnl</t>
        </is>
      </c>
      <c r="F43" s="11" t="n">
        <v>14</v>
      </c>
      <c r="G43" s="11" t="n">
        <v>0</v>
      </c>
      <c r="H43" s="6" t="n">
        <v>0</v>
      </c>
      <c r="I43" s="5" t="inlineStr">
        <is>
          <t>CNY</t>
        </is>
      </c>
      <c r="J43" s="12" t="n">
        <v>916923.75</v>
      </c>
      <c r="K43" s="12" t="n">
        <v>146423.29</v>
      </c>
      <c r="L43" s="12" t="n">
        <v>117366.24</v>
      </c>
      <c r="M43" s="12" t="n">
        <v>18742.18</v>
      </c>
      <c r="N43" s="6" t="n">
        <v>0.15969</v>
      </c>
    </row>
    <row r="44">
      <c r="A44" s="8" t="n">
        <v>40</v>
      </c>
      <c r="B44" s="7" t="inlineStr">
        <is>
          <t>China</t>
        </is>
      </c>
      <c r="C44" s="7" t="inlineStr">
        <is>
          <t>MA Yan</t>
        </is>
      </c>
      <c r="D44" s="8" t="inlineStr">
        <is>
          <t>data (134).xlsx</t>
        </is>
      </c>
      <c r="E44" s="13" t="inlineStr">
        <is>
          <t>Open Pnl</t>
        </is>
      </c>
      <c r="F44" s="14" t="n">
        <v>16</v>
      </c>
      <c r="G44" s="14" t="n">
        <v>0</v>
      </c>
      <c r="H44" s="9" t="n">
        <v>0</v>
      </c>
      <c r="I44" s="8" t="inlineStr">
        <is>
          <t>CNY</t>
        </is>
      </c>
      <c r="J44" s="15" t="n">
        <v>871147.6899999999</v>
      </c>
      <c r="K44" s="15" t="n">
        <v>141163.42</v>
      </c>
      <c r="L44" s="15" t="n">
        <v>111506.9</v>
      </c>
      <c r="M44" s="15" t="n">
        <v>18068.92</v>
      </c>
      <c r="N44" s="9" t="n">
        <v>0.162043</v>
      </c>
    </row>
    <row r="45">
      <c r="A45" s="5" t="n">
        <v>41</v>
      </c>
      <c r="B45" s="4" t="inlineStr">
        <is>
          <t>China</t>
        </is>
      </c>
      <c r="C45" s="4" t="inlineStr">
        <is>
          <t>ZHU Lin</t>
        </is>
      </c>
      <c r="D45" s="5" t="inlineStr">
        <is>
          <t>data (135).xlsx</t>
        </is>
      </c>
      <c r="E45" s="10" t="inlineStr">
        <is>
          <t>Open Pnl</t>
        </is>
      </c>
      <c r="F45" s="11" t="n">
        <v>17</v>
      </c>
      <c r="G45" s="11" t="n">
        <v>0</v>
      </c>
      <c r="H45" s="6" t="n">
        <v>0</v>
      </c>
      <c r="I45" s="5" t="inlineStr">
        <is>
          <t>CNY</t>
        </is>
      </c>
      <c r="J45" s="12" t="n">
        <v>567674.3199999999</v>
      </c>
      <c r="K45" s="12" t="n">
        <v>92619.02</v>
      </c>
      <c r="L45" s="12" t="n">
        <v>72662.31</v>
      </c>
      <c r="M45" s="12" t="n">
        <v>11855.23</v>
      </c>
      <c r="N45" s="6" t="n">
        <v>0.163155</v>
      </c>
    </row>
    <row r="46">
      <c r="A46" s="8" t="n">
        <v>42</v>
      </c>
      <c r="B46" s="7" t="inlineStr">
        <is>
          <t>China</t>
        </is>
      </c>
      <c r="C46" s="7" t="inlineStr">
        <is>
          <t>HU Jun</t>
        </is>
      </c>
      <c r="D46" s="8" t="inlineStr">
        <is>
          <t>data (136).xlsx</t>
        </is>
      </c>
      <c r="E46" s="13" t="inlineStr">
        <is>
          <t>Open Pnl</t>
        </is>
      </c>
      <c r="F46" s="14" t="n">
        <v>19</v>
      </c>
      <c r="G46" s="14" t="n">
        <v>1</v>
      </c>
      <c r="H46" s="9" t="n">
        <v>0.05263157894736842</v>
      </c>
      <c r="I46" s="8" t="inlineStr">
        <is>
          <t>CNY</t>
        </is>
      </c>
      <c r="J46" s="15" t="n">
        <v>478701.19</v>
      </c>
      <c r="K46" s="15" t="n">
        <v>84324.87</v>
      </c>
      <c r="L46" s="15" t="n">
        <v>61273.75</v>
      </c>
      <c r="M46" s="15" t="n">
        <v>10793.58</v>
      </c>
      <c r="N46" s="9" t="n">
        <v>0.176153</v>
      </c>
    </row>
    <row r="47">
      <c r="A47" s="5" t="n">
        <v>43</v>
      </c>
      <c r="B47" s="4" t="inlineStr">
        <is>
          <t>Vietnam</t>
        </is>
      </c>
      <c r="C47" s="4" t="inlineStr">
        <is>
          <t>VO My</t>
        </is>
      </c>
      <c r="D47" s="5" t="inlineStr">
        <is>
          <t>data (14).xlsx</t>
        </is>
      </c>
      <c r="E47" s="10" t="inlineStr">
        <is>
          <t>Open Pnl</t>
        </is>
      </c>
      <c r="F47" s="11" t="n">
        <v>114</v>
      </c>
      <c r="G47" s="11" t="n">
        <v>0</v>
      </c>
      <c r="H47" s="6" t="n">
        <v>0</v>
      </c>
      <c r="I47" s="5" t="inlineStr">
        <is>
          <t>VND</t>
        </is>
      </c>
      <c r="J47" s="12" t="n">
        <v>1747944238.8</v>
      </c>
      <c r="K47" s="12" t="n">
        <v>273426347.81</v>
      </c>
      <c r="L47" s="12" t="n">
        <v>63799.96</v>
      </c>
      <c r="M47" s="12" t="n">
        <v>9980.059999999999</v>
      </c>
      <c r="N47" s="6" t="n">
        <v>0.156427</v>
      </c>
    </row>
    <row r="48">
      <c r="A48" s="8" t="n">
        <v>44</v>
      </c>
      <c r="B48" s="7" t="inlineStr">
        <is>
          <t>Vietnam</t>
        </is>
      </c>
      <c r="C48" s="7" t="inlineStr">
        <is>
          <t>DINH Son</t>
        </is>
      </c>
      <c r="D48" s="8" t="inlineStr">
        <is>
          <t>data (15).xlsx</t>
        </is>
      </c>
      <c r="E48" s="13" t="inlineStr">
        <is>
          <t>Open Pnl</t>
        </is>
      </c>
      <c r="F48" s="14" t="n">
        <v>119</v>
      </c>
      <c r="G48" s="14" t="n">
        <v>2</v>
      </c>
      <c r="H48" s="9" t="n">
        <v>0.01680672268907563</v>
      </c>
      <c r="I48" s="8" t="inlineStr">
        <is>
          <t>VND</t>
        </is>
      </c>
      <c r="J48" s="15" t="n">
        <v>1806133230.08</v>
      </c>
      <c r="K48" s="15" t="n">
        <v>291969152.84</v>
      </c>
      <c r="L48" s="15" t="n">
        <v>65923.86</v>
      </c>
      <c r="M48" s="15" t="n">
        <v>10656.87</v>
      </c>
      <c r="N48" s="9" t="n">
        <v>0.161654</v>
      </c>
    </row>
    <row r="49">
      <c r="A49" s="5" t="n">
        <v>45</v>
      </c>
      <c r="B49" s="4" t="inlineStr">
        <is>
          <t>Vietnam</t>
        </is>
      </c>
      <c r="C49" s="4" t="inlineStr">
        <is>
          <t>MAI Ha</t>
        </is>
      </c>
      <c r="D49" s="5" t="inlineStr">
        <is>
          <t>data (16).xlsx</t>
        </is>
      </c>
      <c r="E49" s="10" t="inlineStr">
        <is>
          <t>Open Pnl</t>
        </is>
      </c>
      <c r="F49" s="11" t="n">
        <v>124</v>
      </c>
      <c r="G49" s="11" t="n">
        <v>0</v>
      </c>
      <c r="H49" s="6" t="n">
        <v>0</v>
      </c>
      <c r="I49" s="5" t="inlineStr">
        <is>
          <t>VND</t>
        </is>
      </c>
      <c r="J49" s="12" t="n">
        <v>639986667.41</v>
      </c>
      <c r="K49" s="12" t="n">
        <v>100064901.89</v>
      </c>
      <c r="L49" s="12" t="n">
        <v>23359.51</v>
      </c>
      <c r="M49" s="12" t="n">
        <v>3652.37</v>
      </c>
      <c r="N49" s="6" t="n">
        <v>0.156355</v>
      </c>
    </row>
    <row r="50">
      <c r="A50" s="8" t="n">
        <v>46</v>
      </c>
      <c r="B50" s="7" t="inlineStr">
        <is>
          <t>Vietnam</t>
        </is>
      </c>
      <c r="C50" s="7" t="inlineStr">
        <is>
          <t>TA Minh</t>
        </is>
      </c>
      <c r="D50" s="8" t="inlineStr">
        <is>
          <t>data (17).xlsx</t>
        </is>
      </c>
      <c r="E50" s="13" t="inlineStr">
        <is>
          <t>Open Pnl</t>
        </is>
      </c>
      <c r="F50" s="14" t="n">
        <v>129</v>
      </c>
      <c r="G50" s="14" t="n">
        <v>0</v>
      </c>
      <c r="H50" s="9" t="n">
        <v>0</v>
      </c>
      <c r="I50" s="8" t="inlineStr">
        <is>
          <t>VND</t>
        </is>
      </c>
      <c r="J50" s="15" t="n">
        <v>1873287755.21</v>
      </c>
      <c r="K50" s="15" t="n">
        <v>293033506.5</v>
      </c>
      <c r="L50" s="15" t="n">
        <v>68375</v>
      </c>
      <c r="M50" s="15" t="n">
        <v>10695.72</v>
      </c>
      <c r="N50" s="9" t="n">
        <v>0.156427</v>
      </c>
    </row>
    <row r="51">
      <c r="A51" s="5" t="n">
        <v>47</v>
      </c>
      <c r="B51" s="4" t="inlineStr">
        <is>
          <t>Thailand</t>
        </is>
      </c>
      <c r="C51" s="4" t="inlineStr">
        <is>
          <t>SIRIPONG Anan</t>
        </is>
      </c>
      <c r="D51" s="5" t="inlineStr">
        <is>
          <t>data (18).xlsx</t>
        </is>
      </c>
      <c r="E51" s="10" t="inlineStr">
        <is>
          <t>Open Pnl</t>
        </is>
      </c>
      <c r="F51" s="11" t="n">
        <v>5</v>
      </c>
      <c r="G51" s="11" t="n">
        <v>0</v>
      </c>
      <c r="H51" s="6" t="n">
        <v>0</v>
      </c>
      <c r="I51" s="5" t="inlineStr">
        <is>
          <t>THB</t>
        </is>
      </c>
      <c r="J51" s="12" t="n">
        <v>2393175.1</v>
      </c>
      <c r="K51" s="12" t="n">
        <v>394354.94</v>
      </c>
      <c r="L51" s="12" t="n">
        <v>61025.97</v>
      </c>
      <c r="M51" s="12" t="n">
        <v>10056.05</v>
      </c>
      <c r="N51" s="6" t="n">
        <v>0.164783</v>
      </c>
    </row>
    <row r="52">
      <c r="A52" s="8" t="n">
        <v>48</v>
      </c>
      <c r="B52" s="7" t="inlineStr">
        <is>
          <t>Thailand</t>
        </is>
      </c>
      <c r="C52" s="7" t="inlineStr">
        <is>
          <t>CHAIYASIT Nicha</t>
        </is>
      </c>
      <c r="D52" s="8" t="inlineStr">
        <is>
          <t>data (19).xlsx</t>
        </is>
      </c>
      <c r="E52" s="13" t="inlineStr">
        <is>
          <t>Open Pnl</t>
        </is>
      </c>
      <c r="F52" s="14" t="n">
        <v>7</v>
      </c>
      <c r="G52" s="14" t="n">
        <v>1</v>
      </c>
      <c r="H52" s="9" t="n">
        <v>0.1428571428571428</v>
      </c>
      <c r="I52" s="8" t="inlineStr">
        <is>
          <t>THB</t>
        </is>
      </c>
      <c r="J52" s="15" t="n">
        <v>3725654.82</v>
      </c>
      <c r="K52" s="15" t="n">
        <v>510510.8</v>
      </c>
      <c r="L52" s="15" t="n">
        <v>95004.2</v>
      </c>
      <c r="M52" s="15" t="n">
        <v>13018.03</v>
      </c>
      <c r="N52" s="9" t="n">
        <v>0.137026</v>
      </c>
    </row>
    <row r="53">
      <c r="A53" s="5" t="n">
        <v>49</v>
      </c>
      <c r="B53" s="4" t="inlineStr">
        <is>
          <t>Vietnam</t>
        </is>
      </c>
      <c r="C53" s="4" t="inlineStr">
        <is>
          <t>TRAN Linh</t>
        </is>
      </c>
      <c r="D53" s="5" t="inlineStr">
        <is>
          <t>data (2).xlsx</t>
        </is>
      </c>
      <c r="E53" s="10" t="inlineStr">
        <is>
          <t>Open Pnl</t>
        </is>
      </c>
      <c r="F53" s="11" t="n">
        <v>55</v>
      </c>
      <c r="G53" s="11" t="n">
        <v>0</v>
      </c>
      <c r="H53" s="6" t="n">
        <v>0</v>
      </c>
      <c r="I53" s="5" t="inlineStr">
        <is>
          <t>VND</t>
        </is>
      </c>
      <c r="J53" s="12" t="n">
        <v>1710030566.61</v>
      </c>
      <c r="K53" s="12" t="n">
        <v>267495611.28</v>
      </c>
      <c r="L53" s="12" t="n">
        <v>62416.12</v>
      </c>
      <c r="M53" s="12" t="n">
        <v>9763.59</v>
      </c>
      <c r="N53" s="6" t="n">
        <v>0.156427</v>
      </c>
    </row>
    <row r="54">
      <c r="A54" s="8" t="n">
        <v>50</v>
      </c>
      <c r="B54" s="7" t="inlineStr">
        <is>
          <t>Thailand</t>
        </is>
      </c>
      <c r="C54" s="7" t="inlineStr">
        <is>
          <t>WONGSA Kanya</t>
        </is>
      </c>
      <c r="D54" s="8" t="inlineStr">
        <is>
          <t>data (20).xlsx</t>
        </is>
      </c>
      <c r="E54" s="13" t="inlineStr">
        <is>
          <t>Open Pnl</t>
        </is>
      </c>
      <c r="F54" s="14" t="n">
        <v>8</v>
      </c>
      <c r="G54" s="14" t="n">
        <v>1</v>
      </c>
      <c r="H54" s="9" t="n">
        <v>0.125</v>
      </c>
      <c r="I54" s="8" t="inlineStr">
        <is>
          <t>THB</t>
        </is>
      </c>
      <c r="J54" s="15" t="n">
        <v>4657611.75</v>
      </c>
      <c r="K54" s="15" t="n">
        <v>878392.62</v>
      </c>
      <c r="L54" s="15" t="n">
        <v>118769.1</v>
      </c>
      <c r="M54" s="15" t="n">
        <v>22399.01</v>
      </c>
      <c r="N54" s="9" t="n">
        <v>0.188593</v>
      </c>
    </row>
    <row r="55">
      <c r="A55" s="5" t="n">
        <v>51</v>
      </c>
      <c r="B55" s="4" t="inlineStr">
        <is>
          <t>Thailand</t>
        </is>
      </c>
      <c r="C55" s="4" t="inlineStr">
        <is>
          <t>PRASERT Somchai</t>
        </is>
      </c>
      <c r="D55" s="5" t="inlineStr">
        <is>
          <t>data (21).xlsx</t>
        </is>
      </c>
      <c r="E55" s="10" t="inlineStr">
        <is>
          <t>Open Pnl</t>
        </is>
      </c>
      <c r="F55" s="11" t="n">
        <v>11</v>
      </c>
      <c r="G55" s="11" t="n">
        <v>0</v>
      </c>
      <c r="H55" s="6" t="n">
        <v>0</v>
      </c>
      <c r="I55" s="5" t="inlineStr">
        <is>
          <t>THB</t>
        </is>
      </c>
      <c r="J55" s="12" t="n">
        <v>2237915.21</v>
      </c>
      <c r="K55" s="12" t="n">
        <v>368770.73</v>
      </c>
      <c r="L55" s="12" t="n">
        <v>57066.84</v>
      </c>
      <c r="M55" s="12" t="n">
        <v>9403.65</v>
      </c>
      <c r="N55" s="6" t="n">
        <v>0.164783</v>
      </c>
    </row>
    <row r="56">
      <c r="A56" s="8" t="n">
        <v>52</v>
      </c>
      <c r="B56" s="7" t="inlineStr">
        <is>
          <t>Thailand</t>
        </is>
      </c>
      <c r="C56" s="7" t="inlineStr">
        <is>
          <t>KITTIPONG Mali</t>
        </is>
      </c>
      <c r="D56" s="8" t="inlineStr">
        <is>
          <t>data (22).xlsx</t>
        </is>
      </c>
      <c r="E56" s="13" t="inlineStr">
        <is>
          <t>Open Pnl</t>
        </is>
      </c>
      <c r="F56" s="14" t="n">
        <v>13</v>
      </c>
      <c r="G56" s="14" t="n">
        <v>1</v>
      </c>
      <c r="H56" s="9" t="n">
        <v>0.07692307692307693</v>
      </c>
      <c r="I56" s="8" t="inlineStr">
        <is>
          <t>THB</t>
        </is>
      </c>
      <c r="J56" s="15" t="n">
        <v>3999530.78</v>
      </c>
      <c r="K56" s="15" t="n">
        <v>548038.92</v>
      </c>
      <c r="L56" s="15" t="n">
        <v>101988.03</v>
      </c>
      <c r="M56" s="15" t="n">
        <v>13974.99</v>
      </c>
      <c r="N56" s="9" t="n">
        <v>0.137026</v>
      </c>
    </row>
    <row r="57">
      <c r="A57" s="5" t="n">
        <v>53</v>
      </c>
      <c r="B57" s="4" t="inlineStr">
        <is>
          <t>Thailand</t>
        </is>
      </c>
      <c r="C57" s="4" t="inlineStr">
        <is>
          <t>PIMCHANOK Narin</t>
        </is>
      </c>
      <c r="D57" s="5" t="inlineStr">
        <is>
          <t>data (23).xlsx</t>
        </is>
      </c>
      <c r="E57" s="10" t="inlineStr">
        <is>
          <t>Open Pnl</t>
        </is>
      </c>
      <c r="F57" s="11" t="n">
        <v>6</v>
      </c>
      <c r="G57" s="11" t="n">
        <v>0</v>
      </c>
      <c r="H57" s="6" t="n">
        <v>0</v>
      </c>
      <c r="I57" s="5" t="inlineStr">
        <is>
          <t>THB</t>
        </is>
      </c>
      <c r="J57" s="12" t="n">
        <v>5097159.26</v>
      </c>
      <c r="K57" s="12" t="n">
        <v>961288.1800000001</v>
      </c>
      <c r="L57" s="12" t="n">
        <v>129977.56</v>
      </c>
      <c r="M57" s="12" t="n">
        <v>24512.85</v>
      </c>
      <c r="N57" s="6" t="n">
        <v>0.188593</v>
      </c>
    </row>
    <row r="58">
      <c r="A58" s="8" t="n">
        <v>54</v>
      </c>
      <c r="B58" s="7" t="inlineStr">
        <is>
          <t>Thailand</t>
        </is>
      </c>
      <c r="C58" s="7" t="inlineStr">
        <is>
          <t>CHANTHARA Kanya</t>
        </is>
      </c>
      <c r="D58" s="8" t="inlineStr">
        <is>
          <t>data (24).xlsx</t>
        </is>
      </c>
      <c r="E58" s="13" t="inlineStr">
        <is>
          <t>Open Pnl</t>
        </is>
      </c>
      <c r="F58" s="14" t="n">
        <v>17</v>
      </c>
      <c r="G58" s="14" t="n">
        <v>0</v>
      </c>
      <c r="H58" s="9" t="n">
        <v>0</v>
      </c>
      <c r="I58" s="8" t="inlineStr">
        <is>
          <t>THB</t>
        </is>
      </c>
      <c r="J58" s="15" t="n">
        <v>2370654.69</v>
      </c>
      <c r="K58" s="15" t="n">
        <v>390643.94</v>
      </c>
      <c r="L58" s="15" t="n">
        <v>60451.69</v>
      </c>
      <c r="M58" s="15" t="n">
        <v>9961.42</v>
      </c>
      <c r="N58" s="9" t="n">
        <v>0.164783</v>
      </c>
    </row>
    <row r="59">
      <c r="A59" s="5" t="n">
        <v>55</v>
      </c>
      <c r="B59" s="4" t="inlineStr">
        <is>
          <t>Thailand</t>
        </is>
      </c>
      <c r="C59" s="4" t="inlineStr">
        <is>
          <t>RATTANA Anong</t>
        </is>
      </c>
      <c r="D59" s="5" t="inlineStr">
        <is>
          <t>data (25).xlsx</t>
        </is>
      </c>
      <c r="E59" s="10" t="inlineStr">
        <is>
          <t>Open Pnl</t>
        </is>
      </c>
      <c r="F59" s="11" t="n">
        <v>19</v>
      </c>
      <c r="G59" s="11" t="n">
        <v>1</v>
      </c>
      <c r="H59" s="6" t="n">
        <v>0.05263157894736842</v>
      </c>
      <c r="I59" s="5" t="inlineStr">
        <is>
          <t>THB</t>
        </is>
      </c>
      <c r="J59" s="12" t="n">
        <v>3393240.94</v>
      </c>
      <c r="K59" s="12" t="n">
        <v>464961.52</v>
      </c>
      <c r="L59" s="12" t="n">
        <v>86527.64</v>
      </c>
      <c r="M59" s="12" t="n">
        <v>11856.52</v>
      </c>
      <c r="N59" s="6" t="n">
        <v>0.137026</v>
      </c>
    </row>
    <row r="60">
      <c r="A60" s="8" t="n">
        <v>56</v>
      </c>
      <c r="B60" s="7" t="inlineStr">
        <is>
          <t>Thailand</t>
        </is>
      </c>
      <c r="C60" s="7" t="inlineStr">
        <is>
          <t>SURIYA Nop</t>
        </is>
      </c>
      <c r="D60" s="8" t="inlineStr">
        <is>
          <t>data (26).xlsx</t>
        </is>
      </c>
      <c r="E60" s="13" t="inlineStr">
        <is>
          <t>Open Pnl</t>
        </is>
      </c>
      <c r="F60" s="14" t="n">
        <v>10</v>
      </c>
      <c r="G60" s="14" t="n">
        <v>0</v>
      </c>
      <c r="H60" s="9" t="n">
        <v>0</v>
      </c>
      <c r="I60" s="8" t="inlineStr">
        <is>
          <t>THB</t>
        </is>
      </c>
      <c r="J60" s="15" t="n">
        <v>5100317.64</v>
      </c>
      <c r="K60" s="15" t="n">
        <v>961883.8100000001</v>
      </c>
      <c r="L60" s="15" t="n">
        <v>130058.1</v>
      </c>
      <c r="M60" s="15" t="n">
        <v>24528.04</v>
      </c>
      <c r="N60" s="9" t="n">
        <v>0.188593</v>
      </c>
    </row>
    <row r="61">
      <c r="A61" s="5" t="n">
        <v>57</v>
      </c>
      <c r="B61" s="4" t="inlineStr">
        <is>
          <t>Singapore</t>
        </is>
      </c>
      <c r="C61" s="4" t="inlineStr">
        <is>
          <t>TAN Wei Ming</t>
        </is>
      </c>
      <c r="D61" s="5" t="inlineStr">
        <is>
          <t>data (27).xlsx</t>
        </is>
      </c>
      <c r="E61" s="10" t="inlineStr">
        <is>
          <t>Open Pnl</t>
        </is>
      </c>
      <c r="F61" s="11" t="n">
        <v>4</v>
      </c>
      <c r="G61" s="11" t="n">
        <v>0</v>
      </c>
      <c r="H61" s="6" t="n">
        <v>0</v>
      </c>
      <c r="I61" s="5" t="inlineStr">
        <is>
          <t>SGD</t>
        </is>
      </c>
      <c r="J61" s="12" t="n">
        <v>196605.08</v>
      </c>
      <c r="K61" s="12" t="n">
        <v>31932.57</v>
      </c>
      <c r="L61" s="12" t="n">
        <v>133691.45</v>
      </c>
      <c r="M61" s="12" t="n">
        <v>21714.15</v>
      </c>
      <c r="N61" s="6" t="n">
        <v>0.16242</v>
      </c>
    </row>
    <row r="62">
      <c r="A62" s="8" t="n">
        <v>58</v>
      </c>
      <c r="B62" s="7" t="inlineStr">
        <is>
          <t>Singapore</t>
        </is>
      </c>
      <c r="C62" s="7" t="inlineStr">
        <is>
          <t>LIM Jia Hui</t>
        </is>
      </c>
      <c r="D62" s="8" t="inlineStr">
        <is>
          <t>data (28).xlsx</t>
        </is>
      </c>
      <c r="E62" s="13" t="inlineStr">
        <is>
          <t>Open Pnl</t>
        </is>
      </c>
      <c r="F62" s="14" t="n">
        <v>6</v>
      </c>
      <c r="G62" s="14" t="n">
        <v>0</v>
      </c>
      <c r="H62" s="9" t="n">
        <v>0</v>
      </c>
      <c r="I62" s="8" t="inlineStr">
        <is>
          <t>SGD</t>
        </is>
      </c>
      <c r="J62" s="15" t="n">
        <v>59941.04</v>
      </c>
      <c r="K62" s="15" t="n">
        <v>9353.889999999999</v>
      </c>
      <c r="L62" s="15" t="n">
        <v>40759.91</v>
      </c>
      <c r="M62" s="15" t="n">
        <v>6360.65</v>
      </c>
      <c r="N62" s="9" t="n">
        <v>0.156052</v>
      </c>
    </row>
    <row r="63">
      <c r="A63" s="5" t="n">
        <v>59</v>
      </c>
      <c r="B63" s="4" t="inlineStr">
        <is>
          <t>Singapore</t>
        </is>
      </c>
      <c r="C63" s="4" t="inlineStr">
        <is>
          <t>LEE Daniel</t>
        </is>
      </c>
      <c r="D63" s="5" t="inlineStr">
        <is>
          <t>data (29).xlsx</t>
        </is>
      </c>
      <c r="E63" s="10" t="inlineStr">
        <is>
          <t>Open Pnl</t>
        </is>
      </c>
      <c r="F63" s="11" t="n">
        <v>8</v>
      </c>
      <c r="G63" s="11" t="n">
        <v>0</v>
      </c>
      <c r="H63" s="6" t="n">
        <v>0</v>
      </c>
      <c r="I63" s="5" t="inlineStr">
        <is>
          <t>SGD</t>
        </is>
      </c>
      <c r="J63" s="12" t="n">
        <v>100638.12</v>
      </c>
      <c r="K63" s="12" t="n">
        <v>16152.83</v>
      </c>
      <c r="L63" s="12" t="n">
        <v>68433.92</v>
      </c>
      <c r="M63" s="12" t="n">
        <v>10983.92</v>
      </c>
      <c r="N63" s="6" t="n">
        <v>0.160504</v>
      </c>
    </row>
    <row r="64">
      <c r="A64" s="8" t="n">
        <v>60</v>
      </c>
      <c r="B64" s="7" t="inlineStr">
        <is>
          <t>Vietnam</t>
        </is>
      </c>
      <c r="C64" s="7" t="inlineStr">
        <is>
          <t>LE Minh</t>
        </is>
      </c>
      <c r="D64" s="8" t="inlineStr">
        <is>
          <t>data (3).xlsx</t>
        </is>
      </c>
      <c r="E64" s="13" t="inlineStr">
        <is>
          <t>Open Pnl</t>
        </is>
      </c>
      <c r="F64" s="14" t="n">
        <v>59</v>
      </c>
      <c r="G64" s="14" t="n">
        <v>1</v>
      </c>
      <c r="H64" s="9" t="n">
        <v>0.01694915254237288</v>
      </c>
      <c r="I64" s="8" t="inlineStr">
        <is>
          <t>VND</t>
        </is>
      </c>
      <c r="J64" s="15" t="n">
        <v>2037256547.2</v>
      </c>
      <c r="K64" s="15" t="n">
        <v>329331224.44</v>
      </c>
      <c r="L64" s="15" t="n">
        <v>74359.86</v>
      </c>
      <c r="M64" s="15" t="n">
        <v>12020.59</v>
      </c>
      <c r="N64" s="9" t="n">
        <v>0.161654</v>
      </c>
    </row>
    <row r="65">
      <c r="A65" s="5" t="n">
        <v>61</v>
      </c>
      <c r="B65" s="4" t="inlineStr">
        <is>
          <t>Singapore</t>
        </is>
      </c>
      <c r="C65" s="4" t="inlineStr">
        <is>
          <t>ONG Wei</t>
        </is>
      </c>
      <c r="D65" s="5" t="inlineStr">
        <is>
          <t>data (30).xlsx</t>
        </is>
      </c>
      <c r="E65" s="10" t="inlineStr">
        <is>
          <t>Open Pnl</t>
        </is>
      </c>
      <c r="F65" s="11" t="n">
        <v>9</v>
      </c>
      <c r="G65" s="11" t="n">
        <v>0</v>
      </c>
      <c r="H65" s="6" t="n">
        <v>0</v>
      </c>
      <c r="I65" s="5" t="inlineStr">
        <is>
          <t>SGD</t>
        </is>
      </c>
      <c r="J65" s="12" t="n">
        <v>183063.94</v>
      </c>
      <c r="K65" s="12" t="n">
        <v>29733.21</v>
      </c>
      <c r="L65" s="12" t="n">
        <v>124483.48</v>
      </c>
      <c r="M65" s="12" t="n">
        <v>20218.58</v>
      </c>
      <c r="N65" s="6" t="n">
        <v>0.16242</v>
      </c>
    </row>
    <row r="66">
      <c r="A66" s="8" t="n">
        <v>62</v>
      </c>
      <c r="B66" s="7" t="inlineStr">
        <is>
          <t>Singapore</t>
        </is>
      </c>
      <c r="C66" s="7" t="inlineStr">
        <is>
          <t>KOH Mei</t>
        </is>
      </c>
      <c r="D66" s="8" t="inlineStr">
        <is>
          <t>data (31).xlsx</t>
        </is>
      </c>
      <c r="E66" s="13" t="inlineStr">
        <is>
          <t>Open Pnl</t>
        </is>
      </c>
      <c r="F66" s="14" t="n">
        <v>11</v>
      </c>
      <c r="G66" s="14" t="n">
        <v>0</v>
      </c>
      <c r="H66" s="9" t="n">
        <v>0</v>
      </c>
      <c r="I66" s="8" t="inlineStr">
        <is>
          <t>SGD</t>
        </is>
      </c>
      <c r="J66" s="15" t="n">
        <v>55077.76</v>
      </c>
      <c r="K66" s="15" t="n">
        <v>8594.969999999999</v>
      </c>
      <c r="L66" s="15" t="n">
        <v>37452.88</v>
      </c>
      <c r="M66" s="15" t="n">
        <v>5844.58</v>
      </c>
      <c r="N66" s="9" t="n">
        <v>0.156052</v>
      </c>
    </row>
    <row r="67">
      <c r="A67" s="5" t="n">
        <v>63</v>
      </c>
      <c r="B67" s="4" t="inlineStr">
        <is>
          <t>Singapore</t>
        </is>
      </c>
      <c r="C67" s="4" t="inlineStr">
        <is>
          <t>GOH Adrian</t>
        </is>
      </c>
      <c r="D67" s="5" t="inlineStr">
        <is>
          <t>data (32).xlsx</t>
        </is>
      </c>
      <c r="E67" s="10" t="inlineStr">
        <is>
          <t>Open Pnl</t>
        </is>
      </c>
      <c r="F67" s="11" t="n">
        <v>14</v>
      </c>
      <c r="G67" s="11" t="n">
        <v>0</v>
      </c>
      <c r="H67" s="6" t="n">
        <v>0</v>
      </c>
      <c r="I67" s="5" t="inlineStr">
        <is>
          <t>SGD</t>
        </is>
      </c>
      <c r="J67" s="12" t="n">
        <v>108253.12</v>
      </c>
      <c r="K67" s="12" t="n">
        <v>17375.01</v>
      </c>
      <c r="L67" s="12" t="n">
        <v>73612.12</v>
      </c>
      <c r="M67" s="12" t="n">
        <v>11815.01</v>
      </c>
      <c r="N67" s="6" t="n">
        <v>0.160504</v>
      </c>
    </row>
    <row r="68">
      <c r="A68" s="8" t="n">
        <v>64</v>
      </c>
      <c r="B68" s="7" t="inlineStr">
        <is>
          <t>Singapore</t>
        </is>
      </c>
      <c r="C68" s="7" t="inlineStr">
        <is>
          <t>CHUA Rachel</t>
        </is>
      </c>
      <c r="D68" s="8" t="inlineStr">
        <is>
          <t>data (33).xlsx</t>
        </is>
      </c>
      <c r="E68" s="13" t="inlineStr">
        <is>
          <t>Open Pnl</t>
        </is>
      </c>
      <c r="F68" s="14" t="n">
        <v>15</v>
      </c>
      <c r="G68" s="14" t="n">
        <v>0</v>
      </c>
      <c r="H68" s="9" t="n">
        <v>0</v>
      </c>
      <c r="I68" s="8" t="inlineStr">
        <is>
          <t>SGD</t>
        </is>
      </c>
      <c r="J68" s="15" t="n">
        <v>178008.99</v>
      </c>
      <c r="K68" s="15" t="n">
        <v>28912.22</v>
      </c>
      <c r="L68" s="15" t="n">
        <v>121046.11</v>
      </c>
      <c r="M68" s="15" t="n">
        <v>19660.31</v>
      </c>
      <c r="N68" s="9" t="n">
        <v>0.16242</v>
      </c>
    </row>
    <row r="69">
      <c r="A69" s="5" t="n">
        <v>65</v>
      </c>
      <c r="B69" s="4" t="inlineStr">
        <is>
          <t>Singapore</t>
        </is>
      </c>
      <c r="C69" s="4" t="inlineStr">
        <is>
          <t>YEO Kai</t>
        </is>
      </c>
      <c r="D69" s="5" t="inlineStr">
        <is>
          <t>data (34).xlsx</t>
        </is>
      </c>
      <c r="E69" s="10" t="inlineStr">
        <is>
          <t>Open Pnl</t>
        </is>
      </c>
      <c r="F69" s="11" t="n">
        <v>17</v>
      </c>
      <c r="G69" s="11" t="n">
        <v>0</v>
      </c>
      <c r="H69" s="6" t="n">
        <v>0</v>
      </c>
      <c r="I69" s="5" t="inlineStr">
        <is>
          <t>SGD</t>
        </is>
      </c>
      <c r="J69" s="12" t="n">
        <v>53051.55</v>
      </c>
      <c r="K69" s="12" t="n">
        <v>8278.780000000001</v>
      </c>
      <c r="L69" s="12" t="n">
        <v>36075.05</v>
      </c>
      <c r="M69" s="12" t="n">
        <v>5629.57</v>
      </c>
      <c r="N69" s="6" t="n">
        <v>0.156052</v>
      </c>
    </row>
    <row r="70">
      <c r="A70" s="8" t="n">
        <v>66</v>
      </c>
      <c r="B70" s="7" t="inlineStr">
        <is>
          <t>Singapore</t>
        </is>
      </c>
      <c r="C70" s="7" t="inlineStr">
        <is>
          <t>QUEK Jia</t>
        </is>
      </c>
      <c r="D70" s="8" t="inlineStr">
        <is>
          <t>data (35).xlsx</t>
        </is>
      </c>
      <c r="E70" s="13" t="inlineStr">
        <is>
          <t>Open Pnl</t>
        </is>
      </c>
      <c r="F70" s="14" t="n">
        <v>20</v>
      </c>
      <c r="G70" s="14" t="n">
        <v>0</v>
      </c>
      <c r="H70" s="9" t="n">
        <v>0</v>
      </c>
      <c r="I70" s="8" t="inlineStr">
        <is>
          <t>SGD</t>
        </is>
      </c>
      <c r="J70" s="15" t="n">
        <v>93882.21000000001</v>
      </c>
      <c r="K70" s="15" t="n">
        <v>15068.53</v>
      </c>
      <c r="L70" s="15" t="n">
        <v>63839.9</v>
      </c>
      <c r="M70" s="15" t="n">
        <v>10246.6</v>
      </c>
      <c r="N70" s="9" t="n">
        <v>0.160505</v>
      </c>
    </row>
    <row r="71">
      <c r="A71" s="5" t="n">
        <v>67</v>
      </c>
      <c r="B71" s="4" t="inlineStr">
        <is>
          <t>Singapore</t>
        </is>
      </c>
      <c r="C71" s="4" t="inlineStr">
        <is>
          <t>HO Wen</t>
        </is>
      </c>
      <c r="D71" s="5" t="inlineStr">
        <is>
          <t>data (36).xlsx</t>
        </is>
      </c>
      <c r="E71" s="10" t="inlineStr">
        <is>
          <t>Open Pnl</t>
        </is>
      </c>
      <c r="F71" s="11" t="n">
        <v>21</v>
      </c>
      <c r="G71" s="11" t="n">
        <v>0</v>
      </c>
      <c r="H71" s="6" t="n">
        <v>0</v>
      </c>
      <c r="I71" s="5" t="inlineStr">
        <is>
          <t>SGD</t>
        </is>
      </c>
      <c r="J71" s="12" t="n">
        <v>183764.77</v>
      </c>
      <c r="K71" s="12" t="n">
        <v>29847.06</v>
      </c>
      <c r="L71" s="12" t="n">
        <v>124960.04</v>
      </c>
      <c r="M71" s="12" t="n">
        <v>20296</v>
      </c>
      <c r="N71" s="6" t="n">
        <v>0.16242</v>
      </c>
    </row>
    <row r="72">
      <c r="A72" s="8" t="n">
        <v>68</v>
      </c>
      <c r="B72" s="7" t="inlineStr">
        <is>
          <t>Singapore</t>
        </is>
      </c>
      <c r="C72" s="7" t="inlineStr">
        <is>
          <t>SEAH Marcus</t>
        </is>
      </c>
      <c r="D72" s="8" t="inlineStr">
        <is>
          <t>data (37).xlsx</t>
        </is>
      </c>
      <c r="E72" s="13" t="inlineStr">
        <is>
          <t>Open Pnl</t>
        </is>
      </c>
      <c r="F72" s="14" t="n">
        <v>23</v>
      </c>
      <c r="G72" s="14" t="n">
        <v>0</v>
      </c>
      <c r="H72" s="9" t="n">
        <v>0</v>
      </c>
      <c r="I72" s="8" t="inlineStr">
        <is>
          <t>SGD</t>
        </is>
      </c>
      <c r="J72" s="15" t="n">
        <v>54387.06</v>
      </c>
      <c r="K72" s="15" t="n">
        <v>8487.190000000001</v>
      </c>
      <c r="L72" s="15" t="n">
        <v>36983.2</v>
      </c>
      <c r="M72" s="15" t="n">
        <v>5771.29</v>
      </c>
      <c r="N72" s="9" t="n">
        <v>0.156052</v>
      </c>
    </row>
    <row r="73">
      <c r="A73" s="5" t="n">
        <v>69</v>
      </c>
      <c r="B73" s="4" t="inlineStr">
        <is>
          <t>Singapore</t>
        </is>
      </c>
      <c r="C73" s="4" t="inlineStr">
        <is>
          <t>TEOH Sarah</t>
        </is>
      </c>
      <c r="D73" s="5" t="inlineStr">
        <is>
          <t>data (38).xlsx</t>
        </is>
      </c>
      <c r="E73" s="10" t="inlineStr">
        <is>
          <t>Open Pnl</t>
        </is>
      </c>
      <c r="F73" s="11" t="n">
        <v>26</v>
      </c>
      <c r="G73" s="11" t="n">
        <v>0</v>
      </c>
      <c r="H73" s="6" t="n">
        <v>0</v>
      </c>
      <c r="I73" s="5" t="inlineStr">
        <is>
          <t>SGD</t>
        </is>
      </c>
      <c r="J73" s="12" t="n">
        <v>102609.18</v>
      </c>
      <c r="K73" s="12" t="n">
        <v>16469.13</v>
      </c>
      <c r="L73" s="12" t="n">
        <v>69774.24000000001</v>
      </c>
      <c r="M73" s="12" t="n">
        <v>11199.01</v>
      </c>
      <c r="N73" s="6" t="n">
        <v>0.160503</v>
      </c>
    </row>
    <row r="74">
      <c r="A74" s="8" t="n">
        <v>70</v>
      </c>
      <c r="B74" s="7" t="inlineStr">
        <is>
          <t>Italy</t>
        </is>
      </c>
      <c r="C74" s="7" t="inlineStr">
        <is>
          <t>ROSSI Andrea</t>
        </is>
      </c>
      <c r="D74" s="8" t="inlineStr">
        <is>
          <t>data (39).xlsx</t>
        </is>
      </c>
      <c r="E74" s="13" t="inlineStr">
        <is>
          <t>Open Pnl</t>
        </is>
      </c>
      <c r="F74" s="14" t="n">
        <v>4</v>
      </c>
      <c r="G74" s="14" t="n">
        <v>0</v>
      </c>
      <c r="H74" s="9" t="n">
        <v>0</v>
      </c>
      <c r="I74" s="8" t="inlineStr">
        <is>
          <t>EUR</t>
        </is>
      </c>
      <c r="J74" s="15" t="n">
        <v>102134.62</v>
      </c>
      <c r="K74" s="15" t="n">
        <v>16781.15</v>
      </c>
      <c r="L74" s="15" t="n">
        <v>102134.62</v>
      </c>
      <c r="M74" s="15" t="n">
        <v>16781.15</v>
      </c>
      <c r="N74" s="9" t="n">
        <v>0.164304</v>
      </c>
    </row>
    <row r="75">
      <c r="A75" s="5" t="n">
        <v>71</v>
      </c>
      <c r="B75" s="4" t="inlineStr">
        <is>
          <t>Vietnam</t>
        </is>
      </c>
      <c r="C75" s="4" t="inlineStr">
        <is>
          <t>PHAM Quang</t>
        </is>
      </c>
      <c r="D75" s="5" t="inlineStr">
        <is>
          <t>data (4).xlsx</t>
        </is>
      </c>
      <c r="E75" s="10" t="inlineStr">
        <is>
          <t>Open Pnl</t>
        </is>
      </c>
      <c r="F75" s="11" t="n">
        <v>65</v>
      </c>
      <c r="G75" s="11" t="n">
        <v>0</v>
      </c>
      <c r="H75" s="6" t="n">
        <v>0</v>
      </c>
      <c r="I75" s="5" t="inlineStr">
        <is>
          <t>VND</t>
        </is>
      </c>
      <c r="J75" s="12" t="n">
        <v>693669546.97</v>
      </c>
      <c r="K75" s="12" t="n">
        <v>108458470.7</v>
      </c>
      <c r="L75" s="12" t="n">
        <v>25318.94</v>
      </c>
      <c r="M75" s="12" t="n">
        <v>3958.73</v>
      </c>
      <c r="N75" s="6" t="n">
        <v>0.156355</v>
      </c>
    </row>
    <row r="76">
      <c r="A76" s="8" t="n">
        <v>72</v>
      </c>
      <c r="B76" s="7" t="inlineStr">
        <is>
          <t>Italy</t>
        </is>
      </c>
      <c r="C76" s="7" t="inlineStr">
        <is>
          <t>FERRARI Giulia</t>
        </is>
      </c>
      <c r="D76" s="8" t="inlineStr">
        <is>
          <t>data (40).xlsx</t>
        </is>
      </c>
      <c r="E76" s="13" t="inlineStr">
        <is>
          <t>Open Pnl</t>
        </is>
      </c>
      <c r="F76" s="14" t="n">
        <v>5</v>
      </c>
      <c r="G76" s="14" t="n">
        <v>1</v>
      </c>
      <c r="H76" s="9" t="n">
        <v>0.2</v>
      </c>
      <c r="I76" s="8" t="inlineStr">
        <is>
          <t>EUR</t>
        </is>
      </c>
      <c r="J76" s="15" t="n">
        <v>109540.67</v>
      </c>
      <c r="K76" s="15" t="n">
        <v>16210.29</v>
      </c>
      <c r="L76" s="15" t="n">
        <v>109540.67</v>
      </c>
      <c r="M76" s="15" t="n">
        <v>16210.29</v>
      </c>
      <c r="N76" s="9" t="n">
        <v>0.147984</v>
      </c>
    </row>
    <row r="77">
      <c r="A77" s="5" t="n">
        <v>73</v>
      </c>
      <c r="B77" s="4" t="inlineStr">
        <is>
          <t>Italy</t>
        </is>
      </c>
      <c r="C77" s="4" t="inlineStr">
        <is>
          <t>BIANCHI Marco</t>
        </is>
      </c>
      <c r="D77" s="5" t="inlineStr">
        <is>
          <t>data (41).xlsx</t>
        </is>
      </c>
      <c r="E77" s="10" t="inlineStr">
        <is>
          <t>Open Pnl</t>
        </is>
      </c>
      <c r="F77" s="11" t="n">
        <v>6</v>
      </c>
      <c r="G77" s="11" t="n">
        <v>0</v>
      </c>
      <c r="H77" s="6" t="n">
        <v>0</v>
      </c>
      <c r="I77" s="5" t="inlineStr">
        <is>
          <t>EUR</t>
        </is>
      </c>
      <c r="J77" s="12" t="n">
        <v>109472.9</v>
      </c>
      <c r="K77" s="12" t="n">
        <v>17986.86</v>
      </c>
      <c r="L77" s="12" t="n">
        <v>109472.9</v>
      </c>
      <c r="M77" s="12" t="n">
        <v>17986.86</v>
      </c>
      <c r="N77" s="6" t="n">
        <v>0.164304</v>
      </c>
    </row>
    <row r="78">
      <c r="A78" s="8" t="n">
        <v>74</v>
      </c>
      <c r="B78" s="7" t="inlineStr">
        <is>
          <t>Italy</t>
        </is>
      </c>
      <c r="C78" s="7" t="inlineStr">
        <is>
          <t>ROMANO Elena</t>
        </is>
      </c>
      <c r="D78" s="8" t="inlineStr">
        <is>
          <t>data (42).xlsx</t>
        </is>
      </c>
      <c r="E78" s="13" t="inlineStr">
        <is>
          <t>Open Pnl</t>
        </is>
      </c>
      <c r="F78" s="14" t="n">
        <v>7</v>
      </c>
      <c r="G78" s="14" t="n">
        <v>1</v>
      </c>
      <c r="H78" s="9" t="n">
        <v>0.1428571428571428</v>
      </c>
      <c r="I78" s="8" t="inlineStr">
        <is>
          <t>EUR</t>
        </is>
      </c>
      <c r="J78" s="15" t="n">
        <v>120177.03</v>
      </c>
      <c r="K78" s="15" t="n">
        <v>17784.32</v>
      </c>
      <c r="L78" s="15" t="n">
        <v>120177.03</v>
      </c>
      <c r="M78" s="15" t="n">
        <v>17784.32</v>
      </c>
      <c r="N78" s="9" t="n">
        <v>0.147984</v>
      </c>
    </row>
    <row r="79">
      <c r="A79" s="5" t="n">
        <v>75</v>
      </c>
      <c r="B79" s="4" t="inlineStr">
        <is>
          <t>Italy</t>
        </is>
      </c>
      <c r="C79" s="4" t="inlineStr">
        <is>
          <t>CONTI Luca</t>
        </is>
      </c>
      <c r="D79" s="5" t="inlineStr">
        <is>
          <t>data (43).xlsx</t>
        </is>
      </c>
      <c r="E79" s="10" t="inlineStr">
        <is>
          <t>Open Pnl</t>
        </is>
      </c>
      <c r="F79" s="11" t="n">
        <v>7</v>
      </c>
      <c r="G79" s="11" t="n">
        <v>0</v>
      </c>
      <c r="H79" s="6" t="n">
        <v>0</v>
      </c>
      <c r="I79" s="5" t="inlineStr">
        <is>
          <t>EUR</t>
        </is>
      </c>
      <c r="J79" s="12" t="n">
        <v>92002.52</v>
      </c>
      <c r="K79" s="12" t="n">
        <v>15116.41</v>
      </c>
      <c r="L79" s="12" t="n">
        <v>92002.52</v>
      </c>
      <c r="M79" s="12" t="n">
        <v>15116.41</v>
      </c>
      <c r="N79" s="6" t="n">
        <v>0.164304</v>
      </c>
    </row>
    <row r="80">
      <c r="A80" s="8" t="n">
        <v>76</v>
      </c>
      <c r="B80" s="7" t="inlineStr">
        <is>
          <t>Italy</t>
        </is>
      </c>
      <c r="C80" s="7" t="inlineStr">
        <is>
          <t>RICCI Sofia</t>
        </is>
      </c>
      <c r="D80" s="8" t="inlineStr">
        <is>
          <t>data (44).xlsx</t>
        </is>
      </c>
      <c r="E80" s="13" t="inlineStr">
        <is>
          <t>Open Pnl</t>
        </is>
      </c>
      <c r="F80" s="14" t="n">
        <v>9</v>
      </c>
      <c r="G80" s="14" t="n">
        <v>1</v>
      </c>
      <c r="H80" s="9" t="n">
        <v>0.1111111111111111</v>
      </c>
      <c r="I80" s="8" t="inlineStr">
        <is>
          <t>EUR</t>
        </is>
      </c>
      <c r="J80" s="15" t="n">
        <v>99309.97</v>
      </c>
      <c r="K80" s="15" t="n">
        <v>14696.31</v>
      </c>
      <c r="L80" s="15" t="n">
        <v>99309.97</v>
      </c>
      <c r="M80" s="15" t="n">
        <v>14696.31</v>
      </c>
      <c r="N80" s="9" t="n">
        <v>0.147984</v>
      </c>
    </row>
    <row r="81">
      <c r="A81" s="5" t="n">
        <v>77</v>
      </c>
      <c r="B81" s="4" t="inlineStr">
        <is>
          <t>Italy</t>
        </is>
      </c>
      <c r="C81" s="4" t="inlineStr">
        <is>
          <t>GRECO Matteo</t>
        </is>
      </c>
      <c r="D81" s="5" t="inlineStr">
        <is>
          <t>data (45).xlsx</t>
        </is>
      </c>
      <c r="E81" s="10" t="inlineStr">
        <is>
          <t>Open Pnl</t>
        </is>
      </c>
      <c r="F81" s="11" t="n">
        <v>9</v>
      </c>
      <c r="G81" s="11" t="n">
        <v>0</v>
      </c>
      <c r="H81" s="6" t="n">
        <v>0</v>
      </c>
      <c r="I81" s="5" t="inlineStr">
        <is>
          <t>EUR</t>
        </is>
      </c>
      <c r="J81" s="12" t="n">
        <v>110314.05</v>
      </c>
      <c r="K81" s="12" t="n">
        <v>18125.06</v>
      </c>
      <c r="L81" s="12" t="n">
        <v>110314.05</v>
      </c>
      <c r="M81" s="12" t="n">
        <v>18125.06</v>
      </c>
      <c r="N81" s="6" t="n">
        <v>0.164304</v>
      </c>
    </row>
    <row r="82">
      <c r="A82" s="8" t="n">
        <v>78</v>
      </c>
      <c r="B82" s="7" t="inlineStr">
        <is>
          <t>Italy</t>
        </is>
      </c>
      <c r="C82" s="7" t="inlineStr">
        <is>
          <t>MARINO Chiara</t>
        </is>
      </c>
      <c r="D82" s="8" t="inlineStr">
        <is>
          <t>data (46).xlsx</t>
        </is>
      </c>
      <c r="E82" s="13" t="inlineStr">
        <is>
          <t>Open Pnl</t>
        </is>
      </c>
      <c r="F82" s="14" t="n">
        <v>11</v>
      </c>
      <c r="G82" s="14" t="n">
        <v>1</v>
      </c>
      <c r="H82" s="9" t="n">
        <v>0.09090909090909091</v>
      </c>
      <c r="I82" s="8" t="inlineStr">
        <is>
          <t>EUR</t>
        </is>
      </c>
      <c r="J82" s="15" t="n">
        <v>119607.46</v>
      </c>
      <c r="K82" s="15" t="n">
        <v>17700.02</v>
      </c>
      <c r="L82" s="15" t="n">
        <v>119607.46</v>
      </c>
      <c r="M82" s="15" t="n">
        <v>17700.02</v>
      </c>
      <c r="N82" s="9" t="n">
        <v>0.147984</v>
      </c>
    </row>
    <row r="83">
      <c r="A83" s="5" t="n">
        <v>79</v>
      </c>
      <c r="B83" s="4" t="inlineStr">
        <is>
          <t>Italy</t>
        </is>
      </c>
      <c r="C83" s="4" t="inlineStr">
        <is>
          <t>GIORDANO Paolo</t>
        </is>
      </c>
      <c r="D83" s="5" t="inlineStr">
        <is>
          <t>data (47).xlsx</t>
        </is>
      </c>
      <c r="E83" s="10" t="inlineStr">
        <is>
          <t>Open Pnl</t>
        </is>
      </c>
      <c r="F83" s="11" t="n">
        <v>11</v>
      </c>
      <c r="G83" s="11" t="n">
        <v>0</v>
      </c>
      <c r="H83" s="6" t="n">
        <v>0</v>
      </c>
      <c r="I83" s="5" t="inlineStr">
        <is>
          <t>EUR</t>
        </is>
      </c>
      <c r="J83" s="12" t="n">
        <v>96042.89</v>
      </c>
      <c r="K83" s="12" t="n">
        <v>15780.26</v>
      </c>
      <c r="L83" s="12" t="n">
        <v>96042.89</v>
      </c>
      <c r="M83" s="12" t="n">
        <v>15780.26</v>
      </c>
      <c r="N83" s="6" t="n">
        <v>0.164304</v>
      </c>
    </row>
    <row r="84">
      <c r="A84" s="8" t="n">
        <v>80</v>
      </c>
      <c r="B84" s="7" t="inlineStr">
        <is>
          <t>Italy</t>
        </is>
      </c>
      <c r="C84" s="7" t="inlineStr">
        <is>
          <t>MANCINI Laura</t>
        </is>
      </c>
      <c r="D84" s="8" t="inlineStr">
        <is>
          <t>data (48).xlsx</t>
        </is>
      </c>
      <c r="E84" s="13" t="inlineStr">
        <is>
          <t>Open Pnl</t>
        </is>
      </c>
      <c r="F84" s="14" t="n">
        <v>13</v>
      </c>
      <c r="G84" s="14" t="n">
        <v>1</v>
      </c>
      <c r="H84" s="9" t="n">
        <v>0.07692307692307693</v>
      </c>
      <c r="I84" s="8" t="inlineStr">
        <is>
          <t>EUR</t>
        </is>
      </c>
      <c r="J84" s="15" t="n">
        <v>97988.84</v>
      </c>
      <c r="K84" s="15" t="n">
        <v>14500.83</v>
      </c>
      <c r="L84" s="15" t="n">
        <v>97988.84</v>
      </c>
      <c r="M84" s="15" t="n">
        <v>14500.83</v>
      </c>
      <c r="N84" s="9" t="n">
        <v>0.147985</v>
      </c>
    </row>
    <row r="85">
      <c r="A85" s="5" t="n">
        <v>81</v>
      </c>
      <c r="B85" s="4" t="inlineStr">
        <is>
          <t>Italy</t>
        </is>
      </c>
      <c r="C85" s="4" t="inlineStr">
        <is>
          <t>FERRARO Stefano</t>
        </is>
      </c>
      <c r="D85" s="5" t="inlineStr">
        <is>
          <t>data (49).xlsx</t>
        </is>
      </c>
      <c r="E85" s="10" t="inlineStr">
        <is>
          <t>Open Pnl</t>
        </is>
      </c>
      <c r="F85" s="11" t="n">
        <v>13</v>
      </c>
      <c r="G85" s="11" t="n">
        <v>0</v>
      </c>
      <c r="H85" s="6" t="n">
        <v>0</v>
      </c>
      <c r="I85" s="5" t="inlineStr">
        <is>
          <t>EUR</t>
        </is>
      </c>
      <c r="J85" s="12" t="n">
        <v>112449.25</v>
      </c>
      <c r="K85" s="12" t="n">
        <v>18475.88</v>
      </c>
      <c r="L85" s="12" t="n">
        <v>112449.25</v>
      </c>
      <c r="M85" s="12" t="n">
        <v>18475.88</v>
      </c>
      <c r="N85" s="6" t="n">
        <v>0.164304</v>
      </c>
    </row>
    <row r="86">
      <c r="A86" s="8" t="n">
        <v>82</v>
      </c>
      <c r="B86" s="7" t="inlineStr">
        <is>
          <t>Vietnam</t>
        </is>
      </c>
      <c r="C86" s="7" t="inlineStr">
        <is>
          <t>HOANG Mai</t>
        </is>
      </c>
      <c r="D86" s="8" t="inlineStr">
        <is>
          <t>data (5).xlsx</t>
        </is>
      </c>
      <c r="E86" s="13" t="inlineStr">
        <is>
          <t>Open Pnl</t>
        </is>
      </c>
      <c r="F86" s="14" t="n">
        <v>70</v>
      </c>
      <c r="G86" s="14" t="n">
        <v>0</v>
      </c>
      <c r="H86" s="9" t="n">
        <v>0</v>
      </c>
      <c r="I86" s="8" t="inlineStr">
        <is>
          <t>VND</t>
        </is>
      </c>
      <c r="J86" s="15" t="n">
        <v>1598452161.49</v>
      </c>
      <c r="K86" s="15" t="n">
        <v>250041693.11</v>
      </c>
      <c r="L86" s="15" t="n">
        <v>58343.5</v>
      </c>
      <c r="M86" s="15" t="n">
        <v>9126.52</v>
      </c>
      <c r="N86" s="9" t="n">
        <v>0.156427</v>
      </c>
    </row>
    <row r="87">
      <c r="A87" s="5" t="n">
        <v>83</v>
      </c>
      <c r="B87" s="4" t="inlineStr">
        <is>
          <t>Italy</t>
        </is>
      </c>
      <c r="C87" s="4" t="inlineStr">
        <is>
          <t>MORETTI Elisa</t>
        </is>
      </c>
      <c r="D87" s="5" t="inlineStr">
        <is>
          <t>data (50).xlsx</t>
        </is>
      </c>
      <c r="E87" s="10" t="inlineStr">
        <is>
          <t>Open Pnl</t>
        </is>
      </c>
      <c r="F87" s="11" t="n">
        <v>14</v>
      </c>
      <c r="G87" s="11" t="n">
        <v>1</v>
      </c>
      <c r="H87" s="6" t="n">
        <v>0.07142857142857142</v>
      </c>
      <c r="I87" s="5" t="inlineStr">
        <is>
          <t>EUR</t>
        </is>
      </c>
      <c r="J87" s="12" t="n">
        <v>113759.92</v>
      </c>
      <c r="K87" s="12" t="n">
        <v>16834.67</v>
      </c>
      <c r="L87" s="12" t="n">
        <v>113759.92</v>
      </c>
      <c r="M87" s="12" t="n">
        <v>16834.67</v>
      </c>
      <c r="N87" s="6" t="n">
        <v>0.147984</v>
      </c>
    </row>
    <row r="88">
      <c r="A88" s="8" t="n">
        <v>84</v>
      </c>
      <c r="B88" s="7" t="inlineStr">
        <is>
          <t>Italy</t>
        </is>
      </c>
      <c r="C88" s="7" t="inlineStr">
        <is>
          <t>COSTA Davide</t>
        </is>
      </c>
      <c r="D88" s="8" t="inlineStr">
        <is>
          <t>data (51).xlsx</t>
        </is>
      </c>
      <c r="E88" s="13" t="inlineStr">
        <is>
          <t>Open Pnl</t>
        </is>
      </c>
      <c r="F88" s="14" t="n">
        <v>15</v>
      </c>
      <c r="G88" s="14" t="n">
        <v>0</v>
      </c>
      <c r="H88" s="9" t="n">
        <v>0</v>
      </c>
      <c r="I88" s="8" t="inlineStr">
        <is>
          <t>EUR</t>
        </is>
      </c>
      <c r="J88" s="15" t="n">
        <v>112570.95</v>
      </c>
      <c r="K88" s="15" t="n">
        <v>18495.89</v>
      </c>
      <c r="L88" s="15" t="n">
        <v>112570.95</v>
      </c>
      <c r="M88" s="15" t="n">
        <v>18495.89</v>
      </c>
      <c r="N88" s="9" t="n">
        <v>0.164304</v>
      </c>
    </row>
    <row r="89">
      <c r="A89" s="5" t="n">
        <v>85</v>
      </c>
      <c r="B89" s="4" t="inlineStr">
        <is>
          <t>United States</t>
        </is>
      </c>
      <c r="C89" s="4" t="inlineStr">
        <is>
          <t>SMITH James</t>
        </is>
      </c>
      <c r="D89" s="5" t="inlineStr">
        <is>
          <t>data (52).xlsx</t>
        </is>
      </c>
      <c r="E89" s="10" t="inlineStr">
        <is>
          <t>Open Pnl</t>
        </is>
      </c>
      <c r="F89" s="11" t="n">
        <v>30</v>
      </c>
      <c r="G89" s="11" t="n">
        <v>0</v>
      </c>
      <c r="H89" s="6" t="n">
        <v>0</v>
      </c>
      <c r="I89" s="5" t="inlineStr">
        <is>
          <t>USD</t>
        </is>
      </c>
      <c r="J89" s="12" t="n">
        <v>67998.11</v>
      </c>
      <c r="K89" s="12" t="n">
        <v>10622.35</v>
      </c>
      <c r="L89" s="12" t="n">
        <v>62558.26</v>
      </c>
      <c r="M89" s="12" t="n">
        <v>9772.559999999999</v>
      </c>
      <c r="N89" s="6" t="n">
        <v>0.156215</v>
      </c>
    </row>
    <row r="90">
      <c r="A90" s="8" t="n">
        <v>86</v>
      </c>
      <c r="B90" s="7" t="inlineStr">
        <is>
          <t>United States</t>
        </is>
      </c>
      <c r="C90" s="7" t="inlineStr">
        <is>
          <t>JOHNSON Emily</t>
        </is>
      </c>
      <c r="D90" s="8" t="inlineStr">
        <is>
          <t>data (53).xlsx</t>
        </is>
      </c>
      <c r="E90" s="13" t="inlineStr">
        <is>
          <t>Open Pnl</t>
        </is>
      </c>
      <c r="F90" s="14" t="n">
        <v>35</v>
      </c>
      <c r="G90" s="14" t="n">
        <v>0</v>
      </c>
      <c r="H90" s="9" t="n">
        <v>0</v>
      </c>
      <c r="I90" s="8" t="inlineStr">
        <is>
          <t>USD</t>
        </is>
      </c>
      <c r="J90" s="15" t="n">
        <v>255185.59</v>
      </c>
      <c r="K90" s="15" t="n">
        <v>40302.1</v>
      </c>
      <c r="L90" s="15" t="n">
        <v>234770.74</v>
      </c>
      <c r="M90" s="15" t="n">
        <v>37077.93</v>
      </c>
      <c r="N90" s="9" t="n">
        <v>0.157933</v>
      </c>
    </row>
    <row r="91">
      <c r="A91" s="5" t="n">
        <v>87</v>
      </c>
      <c r="B91" s="4" t="inlineStr">
        <is>
          <t>United States</t>
        </is>
      </c>
      <c r="C91" s="4" t="inlineStr">
        <is>
          <t>WILLIAMS Michael</t>
        </is>
      </c>
      <c r="D91" s="5" t="inlineStr">
        <is>
          <t>data (54).xlsx</t>
        </is>
      </c>
      <c r="E91" s="10" t="inlineStr">
        <is>
          <t>Open Pnl</t>
        </is>
      </c>
      <c r="F91" s="11" t="n">
        <v>40</v>
      </c>
      <c r="G91" s="11" t="n">
        <v>0</v>
      </c>
      <c r="H91" s="6" t="n">
        <v>0</v>
      </c>
      <c r="I91" s="5" t="inlineStr">
        <is>
          <t>USD</t>
        </is>
      </c>
      <c r="J91" s="12" t="n">
        <v>293610.29</v>
      </c>
      <c r="K91" s="12" t="n">
        <v>48354.76</v>
      </c>
      <c r="L91" s="12" t="n">
        <v>270121.47</v>
      </c>
      <c r="M91" s="12" t="n">
        <v>44486.38</v>
      </c>
      <c r="N91" s="6" t="n">
        <v>0.16469</v>
      </c>
    </row>
    <row r="92">
      <c r="A92" s="8" t="n">
        <v>88</v>
      </c>
      <c r="B92" s="7" t="inlineStr">
        <is>
          <t>United States</t>
        </is>
      </c>
      <c r="C92" s="7" t="inlineStr">
        <is>
          <t>BROWN Olivia</t>
        </is>
      </c>
      <c r="D92" s="8" t="inlineStr">
        <is>
          <t>data (55).xlsx</t>
        </is>
      </c>
      <c r="E92" s="13" t="inlineStr">
        <is>
          <t>Open Pnl</t>
        </is>
      </c>
      <c r="F92" s="14" t="n">
        <v>45</v>
      </c>
      <c r="G92" s="14" t="n">
        <v>0</v>
      </c>
      <c r="H92" s="9" t="n">
        <v>0</v>
      </c>
      <c r="I92" s="8" t="inlineStr">
        <is>
          <t>USD</t>
        </is>
      </c>
      <c r="J92" s="15" t="n">
        <v>307123.2</v>
      </c>
      <c r="K92" s="15" t="n">
        <v>49442.59</v>
      </c>
      <c r="L92" s="15" t="n">
        <v>282553.34</v>
      </c>
      <c r="M92" s="15" t="n">
        <v>45487.18</v>
      </c>
      <c r="N92" s="9" t="n">
        <v>0.160986</v>
      </c>
    </row>
    <row r="93">
      <c r="A93" s="5" t="n">
        <v>89</v>
      </c>
      <c r="B93" s="4" t="inlineStr">
        <is>
          <t>United States</t>
        </is>
      </c>
      <c r="C93" s="4" t="inlineStr">
        <is>
          <t>JONES William</t>
        </is>
      </c>
      <c r="D93" s="5" t="inlineStr">
        <is>
          <t>data (56).xlsx</t>
        </is>
      </c>
      <c r="E93" s="10" t="inlineStr">
        <is>
          <t>Open Pnl</t>
        </is>
      </c>
      <c r="F93" s="11" t="n">
        <v>49</v>
      </c>
      <c r="G93" s="11" t="n">
        <v>1</v>
      </c>
      <c r="H93" s="6" t="n">
        <v>0.02040816326530612</v>
      </c>
      <c r="I93" s="5" t="inlineStr">
        <is>
          <t>USD</t>
        </is>
      </c>
      <c r="J93" s="12" t="n">
        <v>188155.61</v>
      </c>
      <c r="K93" s="12" t="n">
        <v>28023.74</v>
      </c>
      <c r="L93" s="12" t="n">
        <v>173103.16</v>
      </c>
      <c r="M93" s="12" t="n">
        <v>25781.84</v>
      </c>
      <c r="N93" s="6" t="n">
        <v>0.148939</v>
      </c>
    </row>
    <row r="94">
      <c r="A94" s="8" t="n">
        <v>90</v>
      </c>
      <c r="B94" s="7" t="inlineStr">
        <is>
          <t>United States</t>
        </is>
      </c>
      <c r="C94" s="7" t="inlineStr">
        <is>
          <t>DAVIS Sophia</t>
        </is>
      </c>
      <c r="D94" s="8" t="inlineStr">
        <is>
          <t>data (57).xlsx</t>
        </is>
      </c>
      <c r="E94" s="13" t="inlineStr">
        <is>
          <t>Open Pnl</t>
        </is>
      </c>
      <c r="F94" s="14" t="n">
        <v>54</v>
      </c>
      <c r="G94" s="14" t="n">
        <v>0</v>
      </c>
      <c r="H94" s="9" t="n">
        <v>0</v>
      </c>
      <c r="I94" s="8" t="inlineStr">
        <is>
          <t>USD</t>
        </is>
      </c>
      <c r="J94" s="15" t="n">
        <v>102984.26</v>
      </c>
      <c r="K94" s="15" t="n">
        <v>16576.9</v>
      </c>
      <c r="L94" s="15" t="n">
        <v>94745.52</v>
      </c>
      <c r="M94" s="15" t="n">
        <v>15250.75</v>
      </c>
      <c r="N94" s="9" t="n">
        <v>0.160965</v>
      </c>
    </row>
    <row r="95">
      <c r="A95" s="5" t="n">
        <v>91</v>
      </c>
      <c r="B95" s="4" t="inlineStr">
        <is>
          <t>United States</t>
        </is>
      </c>
      <c r="C95" s="4" t="inlineStr">
        <is>
          <t>MILLER Daniel</t>
        </is>
      </c>
      <c r="D95" s="5" t="inlineStr">
        <is>
          <t>data (58).xlsx</t>
        </is>
      </c>
      <c r="E95" s="10" t="inlineStr">
        <is>
          <t>Open Pnl</t>
        </is>
      </c>
      <c r="F95" s="11" t="n">
        <v>59</v>
      </c>
      <c r="G95" s="11" t="n">
        <v>2</v>
      </c>
      <c r="H95" s="6" t="n">
        <v>0.03389830508474576</v>
      </c>
      <c r="I95" s="5" t="inlineStr">
        <is>
          <t>USD</t>
        </is>
      </c>
      <c r="J95" s="12" t="n">
        <v>31357.86</v>
      </c>
      <c r="K95" s="12" t="n">
        <v>5047.99</v>
      </c>
      <c r="L95" s="12" t="n">
        <v>28849.23</v>
      </c>
      <c r="M95" s="12" t="n">
        <v>4644.15</v>
      </c>
      <c r="N95" s="6" t="n">
        <v>0.16098</v>
      </c>
    </row>
    <row r="96">
      <c r="A96" s="8" t="n">
        <v>92</v>
      </c>
      <c r="B96" s="7" t="inlineStr">
        <is>
          <t>United States</t>
        </is>
      </c>
      <c r="C96" s="7" t="inlineStr">
        <is>
          <t>WILSON Ava</t>
        </is>
      </c>
      <c r="D96" s="8" t="inlineStr">
        <is>
          <t>data (59).xlsx</t>
        </is>
      </c>
      <c r="E96" s="13" t="inlineStr">
        <is>
          <t>Open Pnl</t>
        </is>
      </c>
      <c r="F96" s="14" t="n">
        <v>57</v>
      </c>
      <c r="G96" s="14" t="n">
        <v>1</v>
      </c>
      <c r="H96" s="9" t="n">
        <v>0.01754385964912281</v>
      </c>
      <c r="I96" s="8" t="inlineStr">
        <is>
          <t>USD</t>
        </is>
      </c>
      <c r="J96" s="15" t="n">
        <v>275358.4</v>
      </c>
      <c r="K96" s="15" t="n">
        <v>44417.41</v>
      </c>
      <c r="L96" s="15" t="n">
        <v>253329.73</v>
      </c>
      <c r="M96" s="15" t="n">
        <v>40864.02</v>
      </c>
      <c r="N96" s="9" t="n">
        <v>0.161308</v>
      </c>
    </row>
    <row r="97">
      <c r="A97" s="5" t="n">
        <v>93</v>
      </c>
      <c r="B97" s="4" t="inlineStr">
        <is>
          <t>Vietnam</t>
        </is>
      </c>
      <c r="C97" s="4" t="inlineStr">
        <is>
          <t>BUI Thanh</t>
        </is>
      </c>
      <c r="D97" s="5" t="inlineStr">
        <is>
          <t>data (6).xlsx</t>
        </is>
      </c>
      <c r="E97" s="10" t="inlineStr">
        <is>
          <t>Open Pnl</t>
        </is>
      </c>
      <c r="F97" s="11" t="n">
        <v>74</v>
      </c>
      <c r="G97" s="11" t="n">
        <v>2</v>
      </c>
      <c r="H97" s="6" t="n">
        <v>0.02702702702702703</v>
      </c>
      <c r="I97" s="5" t="inlineStr">
        <is>
          <t>VND</t>
        </is>
      </c>
      <c r="J97" s="12" t="n">
        <v>2238617831.85</v>
      </c>
      <c r="K97" s="12" t="n">
        <v>361882136.37</v>
      </c>
      <c r="L97" s="12" t="n">
        <v>81709.55</v>
      </c>
      <c r="M97" s="12" t="n">
        <v>13208.7</v>
      </c>
      <c r="N97" s="6" t="n">
        <v>0.161654</v>
      </c>
    </row>
    <row r="98">
      <c r="A98" s="8" t="n">
        <v>94</v>
      </c>
      <c r="B98" s="7" t="inlineStr">
        <is>
          <t>United States</t>
        </is>
      </c>
      <c r="C98" s="7" t="inlineStr">
        <is>
          <t>MOORE Matthew</t>
        </is>
      </c>
      <c r="D98" s="8" t="inlineStr">
        <is>
          <t>data (60).xlsx</t>
        </is>
      </c>
      <c r="E98" s="13" t="inlineStr">
        <is>
          <t>Open Pnl</t>
        </is>
      </c>
      <c r="F98" s="14" t="n">
        <v>63</v>
      </c>
      <c r="G98" s="14" t="n">
        <v>1</v>
      </c>
      <c r="H98" s="9" t="n">
        <v>0.01587301587301587</v>
      </c>
      <c r="I98" s="8" t="inlineStr">
        <is>
          <t>USD</t>
        </is>
      </c>
      <c r="J98" s="15" t="n">
        <v>25567.22</v>
      </c>
      <c r="K98" s="15" t="n">
        <v>4151.48</v>
      </c>
      <c r="L98" s="15" t="n">
        <v>23521.84</v>
      </c>
      <c r="M98" s="15" t="n">
        <v>3819.36</v>
      </c>
      <c r="N98" s="9" t="n">
        <v>0.162375</v>
      </c>
    </row>
    <row r="99">
      <c r="A99" s="5" t="n">
        <v>95</v>
      </c>
      <c r="B99" s="4" t="inlineStr">
        <is>
          <t>United States</t>
        </is>
      </c>
      <c r="C99" s="4" t="inlineStr">
        <is>
          <t>TAYLOR Emma</t>
        </is>
      </c>
      <c r="D99" s="5" t="inlineStr">
        <is>
          <t>data (61).xlsx</t>
        </is>
      </c>
      <c r="E99" s="10" t="inlineStr">
        <is>
          <t>Open Pnl</t>
        </is>
      </c>
      <c r="F99" s="11" t="n">
        <v>74</v>
      </c>
      <c r="G99" s="11" t="n">
        <v>0</v>
      </c>
      <c r="H99" s="6" t="n">
        <v>0</v>
      </c>
      <c r="I99" s="5" t="inlineStr">
        <is>
          <t>USD</t>
        </is>
      </c>
      <c r="J99" s="12" t="n">
        <v>71210.92999999999</v>
      </c>
      <c r="K99" s="12" t="n">
        <v>10472</v>
      </c>
      <c r="L99" s="12" t="n">
        <v>65514.06</v>
      </c>
      <c r="M99" s="12" t="n">
        <v>9634.24</v>
      </c>
      <c r="N99" s="6" t="n">
        <v>0.147056</v>
      </c>
    </row>
    <row r="100">
      <c r="A100" s="8" t="n">
        <v>96</v>
      </c>
      <c r="B100" s="7" t="inlineStr">
        <is>
          <t>United States</t>
        </is>
      </c>
      <c r="C100" s="7" t="inlineStr">
        <is>
          <t>ANDERSON David</t>
        </is>
      </c>
      <c r="D100" s="8" t="inlineStr">
        <is>
          <t>data (62).xlsx</t>
        </is>
      </c>
      <c r="E100" s="13" t="inlineStr">
        <is>
          <t>Open Pnl</t>
        </is>
      </c>
      <c r="F100" s="14" t="n">
        <v>79</v>
      </c>
      <c r="G100" s="14" t="n">
        <v>0</v>
      </c>
      <c r="H100" s="9" t="n">
        <v>0</v>
      </c>
      <c r="I100" s="8" t="inlineStr">
        <is>
          <t>USD</t>
        </is>
      </c>
      <c r="J100" s="15" t="n">
        <v>234723.05</v>
      </c>
      <c r="K100" s="15" t="n">
        <v>46873.99</v>
      </c>
      <c r="L100" s="15" t="n">
        <v>215945.21</v>
      </c>
      <c r="M100" s="15" t="n">
        <v>43124.07</v>
      </c>
      <c r="N100" s="9" t="n">
        <v>0.199699</v>
      </c>
    </row>
    <row r="101">
      <c r="A101" s="5" t="n">
        <v>97</v>
      </c>
      <c r="B101" s="4" t="inlineStr">
        <is>
          <t>United States</t>
        </is>
      </c>
      <c r="C101" s="4" t="inlineStr">
        <is>
          <t>THOMAS Mia</t>
        </is>
      </c>
      <c r="D101" s="5" t="inlineStr">
        <is>
          <t>data (63).xlsx</t>
        </is>
      </c>
      <c r="E101" s="10" t="inlineStr">
        <is>
          <t>Open Pnl</t>
        </is>
      </c>
      <c r="F101" s="11" t="n">
        <v>84</v>
      </c>
      <c r="G101" s="11" t="n">
        <v>0</v>
      </c>
      <c r="H101" s="6" t="n">
        <v>0</v>
      </c>
      <c r="I101" s="5" t="inlineStr">
        <is>
          <t>USD</t>
        </is>
      </c>
      <c r="J101" s="12" t="n">
        <v>95801.39</v>
      </c>
      <c r="K101" s="12" t="n">
        <v>12703.43</v>
      </c>
      <c r="L101" s="12" t="n">
        <v>88137.28</v>
      </c>
      <c r="M101" s="12" t="n">
        <v>11687.16</v>
      </c>
      <c r="N101" s="6" t="n">
        <v>0.132602</v>
      </c>
    </row>
    <row r="102">
      <c r="A102" s="8" t="n">
        <v>98</v>
      </c>
      <c r="B102" s="7" t="inlineStr">
        <is>
          <t>United States</t>
        </is>
      </c>
      <c r="C102" s="7" t="inlineStr">
        <is>
          <t>JACKSON Andrew</t>
        </is>
      </c>
      <c r="D102" s="8" t="inlineStr">
        <is>
          <t>data (64).xlsx</t>
        </is>
      </c>
      <c r="E102" s="13" t="inlineStr">
        <is>
          <t>Open Pnl</t>
        </is>
      </c>
      <c r="F102" s="14" t="n">
        <v>89</v>
      </c>
      <c r="G102" s="14" t="n">
        <v>2</v>
      </c>
      <c r="H102" s="9" t="n">
        <v>0.02247191011235955</v>
      </c>
      <c r="I102" s="8" t="inlineStr">
        <is>
          <t>USD</t>
        </is>
      </c>
      <c r="J102" s="15" t="n">
        <v>144412.04</v>
      </c>
      <c r="K102" s="15" t="n">
        <v>21933.58</v>
      </c>
      <c r="L102" s="15" t="n">
        <v>132859.08</v>
      </c>
      <c r="M102" s="15" t="n">
        <v>20178.89</v>
      </c>
      <c r="N102" s="9" t="n">
        <v>0.151882</v>
      </c>
    </row>
    <row r="103">
      <c r="A103" s="5" t="n">
        <v>99</v>
      </c>
      <c r="B103" s="4" t="inlineStr">
        <is>
          <t>United States</t>
        </is>
      </c>
      <c r="C103" s="4" t="inlineStr">
        <is>
          <t>WHITE Grace</t>
        </is>
      </c>
      <c r="D103" s="5" t="inlineStr">
        <is>
          <t>data (65).xlsx</t>
        </is>
      </c>
      <c r="E103" s="10" t="inlineStr">
        <is>
          <t>Open Pnl</t>
        </is>
      </c>
      <c r="F103" s="11" t="n">
        <v>94</v>
      </c>
      <c r="G103" s="11" t="n">
        <v>2</v>
      </c>
      <c r="H103" s="6" t="n">
        <v>0.02127659574468085</v>
      </c>
      <c r="I103" s="5" t="inlineStr">
        <is>
          <t>USD</t>
        </is>
      </c>
      <c r="J103" s="12" t="n">
        <v>135027.7</v>
      </c>
      <c r="K103" s="12" t="n">
        <v>21325.47</v>
      </c>
      <c r="L103" s="12" t="n">
        <v>124225.48</v>
      </c>
      <c r="M103" s="12" t="n">
        <v>19619.43</v>
      </c>
      <c r="N103" s="6" t="n">
        <v>0.157934</v>
      </c>
    </row>
    <row r="104">
      <c r="A104" s="8" t="n">
        <v>100</v>
      </c>
      <c r="B104" s="7" t="inlineStr">
        <is>
          <t>United States</t>
        </is>
      </c>
      <c r="C104" s="7" t="inlineStr">
        <is>
          <t>HARRIS Henry</t>
        </is>
      </c>
      <c r="D104" s="8" t="inlineStr">
        <is>
          <t>data (66).xlsx</t>
        </is>
      </c>
      <c r="E104" s="13" t="inlineStr">
        <is>
          <t>Open Pnl</t>
        </is>
      </c>
      <c r="F104" s="14" t="n">
        <v>100</v>
      </c>
      <c r="G104" s="14" t="n">
        <v>0</v>
      </c>
      <c r="H104" s="9" t="n">
        <v>0</v>
      </c>
      <c r="I104" s="8" t="inlineStr">
        <is>
          <t>USD</t>
        </is>
      </c>
      <c r="J104" s="15" t="n">
        <v>262965.97</v>
      </c>
      <c r="K104" s="15" t="n">
        <v>35655.1</v>
      </c>
      <c r="L104" s="15" t="n">
        <v>241928.69</v>
      </c>
      <c r="M104" s="15" t="n">
        <v>32802.69</v>
      </c>
      <c r="N104" s="9" t="n">
        <v>0.135588</v>
      </c>
    </row>
    <row r="105">
      <c r="A105" s="5" t="n">
        <v>101</v>
      </c>
      <c r="B105" s="4" t="inlineStr">
        <is>
          <t>United States</t>
        </is>
      </c>
      <c r="C105" s="4" t="inlineStr">
        <is>
          <t>CARTER Ethan</t>
        </is>
      </c>
      <c r="D105" s="5" t="inlineStr">
        <is>
          <t>data (67).xlsx</t>
        </is>
      </c>
      <c r="E105" s="10" t="inlineStr">
        <is>
          <t>Open Pnl</t>
        </is>
      </c>
      <c r="F105" s="11" t="n">
        <v>104</v>
      </c>
      <c r="G105" s="11" t="n">
        <v>0</v>
      </c>
      <c r="H105" s="6" t="n">
        <v>0</v>
      </c>
      <c r="I105" s="5" t="inlineStr">
        <is>
          <t>USD</t>
        </is>
      </c>
      <c r="J105" s="12" t="n">
        <v>65410.84</v>
      </c>
      <c r="K105" s="12" t="n">
        <v>10218.19</v>
      </c>
      <c r="L105" s="12" t="n">
        <v>60177.97</v>
      </c>
      <c r="M105" s="12" t="n">
        <v>9400.73</v>
      </c>
      <c r="N105" s="6" t="n">
        <v>0.156216</v>
      </c>
    </row>
    <row r="106">
      <c r="A106" s="8" t="n">
        <v>102</v>
      </c>
      <c r="B106" s="7" t="inlineStr">
        <is>
          <t>United States</t>
        </is>
      </c>
      <c r="C106" s="7" t="inlineStr">
        <is>
          <t>MITCHELL Lily</t>
        </is>
      </c>
      <c r="D106" s="8" t="inlineStr">
        <is>
          <t>data (68).xlsx</t>
        </is>
      </c>
      <c r="E106" s="13" t="inlineStr">
        <is>
          <t>Open Pnl</t>
        </is>
      </c>
      <c r="F106" s="14" t="n">
        <v>109</v>
      </c>
      <c r="G106" s="14" t="n">
        <v>0</v>
      </c>
      <c r="H106" s="9" t="n">
        <v>0</v>
      </c>
      <c r="I106" s="8" t="inlineStr">
        <is>
          <t>USD</t>
        </is>
      </c>
      <c r="J106" s="15" t="n">
        <v>280548.5</v>
      </c>
      <c r="K106" s="15" t="n">
        <v>44307.85</v>
      </c>
      <c r="L106" s="15" t="n">
        <v>258104.62</v>
      </c>
      <c r="M106" s="15" t="n">
        <v>40763.22</v>
      </c>
      <c r="N106" s="9" t="n">
        <v>0.157933</v>
      </c>
    </row>
    <row r="107">
      <c r="A107" s="5" t="n">
        <v>103</v>
      </c>
      <c r="B107" s="4" t="inlineStr">
        <is>
          <t>United States</t>
        </is>
      </c>
      <c r="C107" s="4" t="inlineStr">
        <is>
          <t>ROBERTS Noah</t>
        </is>
      </c>
      <c r="D107" s="5" t="inlineStr">
        <is>
          <t>data (69).xlsx</t>
        </is>
      </c>
      <c r="E107" s="10" t="inlineStr">
        <is>
          <t>Open Pnl</t>
        </is>
      </c>
      <c r="F107" s="11" t="n">
        <v>114</v>
      </c>
      <c r="G107" s="11" t="n">
        <v>0</v>
      </c>
      <c r="H107" s="6" t="n">
        <v>0</v>
      </c>
      <c r="I107" s="5" t="inlineStr">
        <is>
          <t>USD</t>
        </is>
      </c>
      <c r="J107" s="12" t="n">
        <v>297169.99</v>
      </c>
      <c r="K107" s="12" t="n">
        <v>48940.99</v>
      </c>
      <c r="L107" s="12" t="n">
        <v>273396.39</v>
      </c>
      <c r="M107" s="12" t="n">
        <v>45025.71</v>
      </c>
      <c r="N107" s="6" t="n">
        <v>0.16469</v>
      </c>
    </row>
    <row r="108">
      <c r="A108" s="8" t="n">
        <v>104</v>
      </c>
      <c r="B108" s="7" t="inlineStr">
        <is>
          <t>Vietnam</t>
        </is>
      </c>
      <c r="C108" s="7" t="inlineStr">
        <is>
          <t>DOAN Huy</t>
        </is>
      </c>
      <c r="D108" s="8" t="inlineStr">
        <is>
          <t>data (7).xlsx</t>
        </is>
      </c>
      <c r="E108" s="13" t="inlineStr">
        <is>
          <t>Open Pnl</t>
        </is>
      </c>
      <c r="F108" s="14" t="n">
        <v>80</v>
      </c>
      <c r="G108" s="14" t="n">
        <v>0</v>
      </c>
      <c r="H108" s="9" t="n">
        <v>0</v>
      </c>
      <c r="I108" s="8" t="inlineStr">
        <is>
          <t>VND</t>
        </is>
      </c>
      <c r="J108" s="15" t="n">
        <v>584199422.95</v>
      </c>
      <c r="K108" s="15" t="n">
        <v>91342305.81</v>
      </c>
      <c r="L108" s="15" t="n">
        <v>21323.28</v>
      </c>
      <c r="M108" s="15" t="n">
        <v>3333.99</v>
      </c>
      <c r="N108" s="9" t="n">
        <v>0.156355</v>
      </c>
    </row>
    <row r="109">
      <c r="A109" s="5" t="n">
        <v>105</v>
      </c>
      <c r="B109" s="4" t="inlineStr">
        <is>
          <t>United States</t>
        </is>
      </c>
      <c r="C109" s="4" t="inlineStr">
        <is>
          <t>CAMPBELL Chloe</t>
        </is>
      </c>
      <c r="D109" s="5" t="inlineStr">
        <is>
          <t>data (70).xlsx</t>
        </is>
      </c>
      <c r="E109" s="10" t="inlineStr">
        <is>
          <t>Open Pnl</t>
        </is>
      </c>
      <c r="F109" s="11" t="n">
        <v>120</v>
      </c>
      <c r="G109" s="11" t="n">
        <v>0</v>
      </c>
      <c r="H109" s="6" t="n">
        <v>0</v>
      </c>
      <c r="I109" s="5" t="inlineStr">
        <is>
          <t>USD</t>
        </is>
      </c>
      <c r="J109" s="12" t="n">
        <v>331804.92</v>
      </c>
      <c r="K109" s="12" t="n">
        <v>53416.02</v>
      </c>
      <c r="L109" s="12" t="n">
        <v>305260.53</v>
      </c>
      <c r="M109" s="12" t="n">
        <v>49142.74</v>
      </c>
      <c r="N109" s="6" t="n">
        <v>0.160986</v>
      </c>
    </row>
    <row r="110">
      <c r="A110" s="8" t="n">
        <v>106</v>
      </c>
      <c r="B110" s="7" t="inlineStr">
        <is>
          <t>United States</t>
        </is>
      </c>
      <c r="C110" s="7" t="inlineStr">
        <is>
          <t>PARKER Liam</t>
        </is>
      </c>
      <c r="D110" s="8" t="inlineStr">
        <is>
          <t>data (71).xlsx</t>
        </is>
      </c>
      <c r="E110" s="13" t="inlineStr">
        <is>
          <t>Open Pnl</t>
        </is>
      </c>
      <c r="F110" s="14" t="n">
        <v>124</v>
      </c>
      <c r="G110" s="14" t="n">
        <v>1</v>
      </c>
      <c r="H110" s="9" t="n">
        <v>0.008064516129032258</v>
      </c>
      <c r="I110" s="8" t="inlineStr">
        <is>
          <t>USD</t>
        </is>
      </c>
      <c r="J110" s="15" t="n">
        <v>192748.5</v>
      </c>
      <c r="K110" s="15" t="n">
        <v>28707.79</v>
      </c>
      <c r="L110" s="15" t="n">
        <v>177328.62</v>
      </c>
      <c r="M110" s="15" t="n">
        <v>26411.17</v>
      </c>
      <c r="N110" s="9" t="n">
        <v>0.148939</v>
      </c>
    </row>
    <row r="111">
      <c r="A111" s="5" t="n">
        <v>107</v>
      </c>
      <c r="B111" s="4" t="inlineStr">
        <is>
          <t>United States</t>
        </is>
      </c>
      <c r="C111" s="4" t="inlineStr">
        <is>
          <t>EVANS Madison</t>
        </is>
      </c>
      <c r="D111" s="5" t="inlineStr">
        <is>
          <t>data (72).xlsx</t>
        </is>
      </c>
      <c r="E111" s="10" t="inlineStr">
        <is>
          <t>Open Pnl</t>
        </is>
      </c>
      <c r="F111" s="11" t="n">
        <v>129</v>
      </c>
      <c r="G111" s="11" t="n">
        <v>0</v>
      </c>
      <c r="H111" s="6" t="n">
        <v>0</v>
      </c>
      <c r="I111" s="5" t="inlineStr">
        <is>
          <t>USD</t>
        </is>
      </c>
      <c r="J111" s="12" t="n">
        <v>112198.97</v>
      </c>
      <c r="K111" s="12" t="n">
        <v>18060.17</v>
      </c>
      <c r="L111" s="12" t="n">
        <v>103223.05</v>
      </c>
      <c r="M111" s="12" t="n">
        <v>16615.36</v>
      </c>
      <c r="N111" s="6" t="n">
        <v>0.160966</v>
      </c>
    </row>
    <row r="112">
      <c r="A112" s="8" t="n">
        <v>108</v>
      </c>
      <c r="B112" s="7" t="inlineStr">
        <is>
          <t>Spain</t>
        </is>
      </c>
      <c r="C112" s="7" t="inlineStr">
        <is>
          <t>GARCIA Alejandro</t>
        </is>
      </c>
      <c r="D112" s="8" t="inlineStr">
        <is>
          <t>data (73).xlsx</t>
        </is>
      </c>
      <c r="E112" s="13" t="inlineStr">
        <is>
          <t>Open Pnl</t>
        </is>
      </c>
      <c r="F112" s="14" t="n">
        <v>16</v>
      </c>
      <c r="G112" s="14" t="n">
        <v>1</v>
      </c>
      <c r="H112" s="9" t="n">
        <v>0.0625</v>
      </c>
      <c r="I112" s="8" t="inlineStr">
        <is>
          <t>EUR</t>
        </is>
      </c>
      <c r="J112" s="15" t="n">
        <v>34324.42</v>
      </c>
      <c r="K112" s="15" t="n">
        <v>6199.37</v>
      </c>
      <c r="L112" s="15" t="n">
        <v>34324.42</v>
      </c>
      <c r="M112" s="15" t="n">
        <v>6199.37</v>
      </c>
      <c r="N112" s="9" t="n">
        <v>0.180611</v>
      </c>
    </row>
    <row r="113">
      <c r="A113" s="5" t="n">
        <v>109</v>
      </c>
      <c r="B113" s="4" t="inlineStr">
        <is>
          <t>Spain</t>
        </is>
      </c>
      <c r="C113" s="4" t="inlineStr">
        <is>
          <t>MARTINEZ Lucia</t>
        </is>
      </c>
      <c r="D113" s="5" t="inlineStr">
        <is>
          <t>data (74).xlsx</t>
        </is>
      </c>
      <c r="E113" s="10" t="inlineStr">
        <is>
          <t>Open Pnl</t>
        </is>
      </c>
      <c r="F113" s="11" t="n">
        <v>4</v>
      </c>
      <c r="G113" s="11" t="n">
        <v>0</v>
      </c>
      <c r="H113" s="6" t="n">
        <v>0</v>
      </c>
      <c r="I113" s="5" t="inlineStr">
        <is>
          <t>EUR</t>
        </is>
      </c>
      <c r="J113" s="12" t="n">
        <v>120010.52</v>
      </c>
      <c r="K113" s="12" t="n">
        <v>19006.8</v>
      </c>
      <c r="L113" s="12" t="n">
        <v>120010.52</v>
      </c>
      <c r="M113" s="12" t="n">
        <v>19006.8</v>
      </c>
      <c r="N113" s="6" t="n">
        <v>0.158376</v>
      </c>
    </row>
    <row r="114">
      <c r="A114" s="8" t="n">
        <v>110</v>
      </c>
      <c r="B114" s="7" t="inlineStr">
        <is>
          <t>Spain</t>
        </is>
      </c>
      <c r="C114" s="7" t="inlineStr">
        <is>
          <t>RODRIGUEZ Daniel</t>
        </is>
      </c>
      <c r="D114" s="8" t="inlineStr">
        <is>
          <t>data (75).xlsx</t>
        </is>
      </c>
      <c r="E114" s="13" t="inlineStr">
        <is>
          <t>Open Pnl</t>
        </is>
      </c>
      <c r="F114" s="14" t="n">
        <v>34</v>
      </c>
      <c r="G114" s="14" t="n">
        <v>0</v>
      </c>
      <c r="H114" s="9" t="n">
        <v>0</v>
      </c>
      <c r="I114" s="8" t="inlineStr">
        <is>
          <t>EUR</t>
        </is>
      </c>
      <c r="J114" s="15" t="n">
        <v>37845.68</v>
      </c>
      <c r="K114" s="15" t="n">
        <v>5851.22</v>
      </c>
      <c r="L114" s="15" t="n">
        <v>37845.68</v>
      </c>
      <c r="M114" s="15" t="n">
        <v>5851.22</v>
      </c>
      <c r="N114" s="9" t="n">
        <v>0.154607</v>
      </c>
    </row>
    <row r="115">
      <c r="A115" s="5" t="n">
        <v>111</v>
      </c>
      <c r="B115" s="4" t="inlineStr">
        <is>
          <t>Spain</t>
        </is>
      </c>
      <c r="C115" s="4" t="inlineStr">
        <is>
          <t>LOPEZ Carmen</t>
        </is>
      </c>
      <c r="D115" s="5" t="inlineStr">
        <is>
          <t>data (76).xlsx</t>
        </is>
      </c>
      <c r="E115" s="10" t="inlineStr">
        <is>
          <t>Open Pnl</t>
        </is>
      </c>
      <c r="F115" s="11" t="n">
        <v>39</v>
      </c>
      <c r="G115" s="11" t="n">
        <v>2</v>
      </c>
      <c r="H115" s="6" t="n">
        <v>0.05128205128205128</v>
      </c>
      <c r="I115" s="5" t="inlineStr">
        <is>
          <t>EUR</t>
        </is>
      </c>
      <c r="J115" s="12" t="n">
        <v>85232.83</v>
      </c>
      <c r="K115" s="12" t="n">
        <v>14104.15</v>
      </c>
      <c r="L115" s="12" t="n">
        <v>85232.83</v>
      </c>
      <c r="M115" s="12" t="n">
        <v>14104.15</v>
      </c>
      <c r="N115" s="6" t="n">
        <v>0.165478</v>
      </c>
    </row>
    <row r="116">
      <c r="A116" s="8" t="n">
        <v>112</v>
      </c>
      <c r="B116" s="7" t="inlineStr">
        <is>
          <t>Spain</t>
        </is>
      </c>
      <c r="C116" s="7" t="inlineStr">
        <is>
          <t>SANCHEZ Javier</t>
        </is>
      </c>
      <c r="D116" s="8" t="inlineStr">
        <is>
          <t>data (77).xlsx</t>
        </is>
      </c>
      <c r="E116" s="13" t="inlineStr">
        <is>
          <t>Open Pnl</t>
        </is>
      </c>
      <c r="F116" s="14" t="n">
        <v>44</v>
      </c>
      <c r="G116" s="14" t="n">
        <v>0</v>
      </c>
      <c r="H116" s="9" t="n">
        <v>0</v>
      </c>
      <c r="I116" s="8" t="inlineStr">
        <is>
          <t>EUR</t>
        </is>
      </c>
      <c r="J116" s="15" t="n">
        <v>36443.08</v>
      </c>
      <c r="K116" s="15" t="n">
        <v>6277.56</v>
      </c>
      <c r="L116" s="15" t="n">
        <v>36443.08</v>
      </c>
      <c r="M116" s="15" t="n">
        <v>6277.56</v>
      </c>
      <c r="N116" s="9" t="n">
        <v>0.172257</v>
      </c>
    </row>
    <row r="117">
      <c r="A117" s="5" t="n">
        <v>113</v>
      </c>
      <c r="B117" s="4" t="inlineStr">
        <is>
          <t>Spain</t>
        </is>
      </c>
      <c r="C117" s="4" t="inlineStr">
        <is>
          <t>PEREZ Sofia</t>
        </is>
      </c>
      <c r="D117" s="5" t="inlineStr">
        <is>
          <t>data (78).xlsx</t>
        </is>
      </c>
      <c r="E117" s="10" t="inlineStr">
        <is>
          <t>Open Pnl</t>
        </is>
      </c>
      <c r="F117" s="11" t="n">
        <v>49</v>
      </c>
      <c r="G117" s="11" t="n">
        <v>1</v>
      </c>
      <c r="H117" s="6" t="n">
        <v>0.02040816326530612</v>
      </c>
      <c r="I117" s="5" t="inlineStr">
        <is>
          <t>EUR</t>
        </is>
      </c>
      <c r="J117" s="12" t="n">
        <v>69329.88</v>
      </c>
      <c r="K117" s="12" t="n">
        <v>11278.17</v>
      </c>
      <c r="L117" s="12" t="n">
        <v>69329.88</v>
      </c>
      <c r="M117" s="12" t="n">
        <v>11278.17</v>
      </c>
      <c r="N117" s="6" t="n">
        <v>0.162674</v>
      </c>
    </row>
    <row r="118">
      <c r="A118" s="8" t="n">
        <v>114</v>
      </c>
      <c r="B118" s="7" t="inlineStr">
        <is>
          <t>Spain</t>
        </is>
      </c>
      <c r="C118" s="7" t="inlineStr">
        <is>
          <t>GOMEZ Miguel</t>
        </is>
      </c>
      <c r="D118" s="8" t="inlineStr">
        <is>
          <t>data (79).xlsx</t>
        </is>
      </c>
      <c r="E118" s="13" t="inlineStr">
        <is>
          <t>Open Pnl</t>
        </is>
      </c>
      <c r="F118" s="14" t="n">
        <v>54</v>
      </c>
      <c r="G118" s="14" t="n">
        <v>0</v>
      </c>
      <c r="H118" s="9" t="n">
        <v>0</v>
      </c>
      <c r="I118" s="8" t="inlineStr">
        <is>
          <t>EUR</t>
        </is>
      </c>
      <c r="J118" s="15" t="n">
        <v>43765.37</v>
      </c>
      <c r="K118" s="15" t="n">
        <v>6870.96</v>
      </c>
      <c r="L118" s="15" t="n">
        <v>43765.37</v>
      </c>
      <c r="M118" s="15" t="n">
        <v>6870.96</v>
      </c>
      <c r="N118" s="9" t="n">
        <v>0.156995</v>
      </c>
    </row>
    <row r="119">
      <c r="A119" s="5" t="n">
        <v>115</v>
      </c>
      <c r="B119" s="4" t="inlineStr">
        <is>
          <t>Vietnam</t>
        </is>
      </c>
      <c r="C119" s="4" t="inlineStr">
        <is>
          <t>VU Anh</t>
        </is>
      </c>
      <c r="D119" s="5" t="inlineStr">
        <is>
          <t>data (8).xlsx</t>
        </is>
      </c>
      <c r="E119" s="10" t="inlineStr">
        <is>
          <t>Open Pnl</t>
        </is>
      </c>
      <c r="F119" s="11" t="n">
        <v>85</v>
      </c>
      <c r="G119" s="11" t="n">
        <v>0</v>
      </c>
      <c r="H119" s="6" t="n">
        <v>0</v>
      </c>
      <c r="I119" s="5" t="inlineStr">
        <is>
          <t>VND</t>
        </is>
      </c>
      <c r="J119" s="12" t="n">
        <v>1563327921.92</v>
      </c>
      <c r="K119" s="12" t="n">
        <v>244547300.1</v>
      </c>
      <c r="L119" s="12" t="n">
        <v>57061.47</v>
      </c>
      <c r="M119" s="12" t="n">
        <v>8925.98</v>
      </c>
      <c r="N119" s="6" t="n">
        <v>0.156427</v>
      </c>
    </row>
    <row r="120">
      <c r="A120" s="8" t="n">
        <v>116</v>
      </c>
      <c r="B120" s="7" t="inlineStr">
        <is>
          <t>Spain</t>
        </is>
      </c>
      <c r="C120" s="7" t="inlineStr">
        <is>
          <t>MARTIN Elena</t>
        </is>
      </c>
      <c r="D120" s="8" t="inlineStr">
        <is>
          <t>data (80).xlsx</t>
        </is>
      </c>
      <c r="E120" s="13" t="inlineStr">
        <is>
          <t>Open Pnl</t>
        </is>
      </c>
      <c r="F120" s="14" t="n">
        <v>59</v>
      </c>
      <c r="G120" s="14" t="n">
        <v>0</v>
      </c>
      <c r="H120" s="9" t="n">
        <v>0</v>
      </c>
      <c r="I120" s="8" t="inlineStr">
        <is>
          <t>EUR</t>
        </is>
      </c>
      <c r="J120" s="15" t="n">
        <v>21836.8</v>
      </c>
      <c r="K120" s="15" t="n">
        <v>3181.47</v>
      </c>
      <c r="L120" s="15" t="n">
        <v>21836.8</v>
      </c>
      <c r="M120" s="15" t="n">
        <v>3181.47</v>
      </c>
      <c r="N120" s="9" t="n">
        <v>0.145693</v>
      </c>
    </row>
    <row r="121">
      <c r="A121" s="5" t="n">
        <v>117</v>
      </c>
      <c r="B121" s="4" t="inlineStr">
        <is>
          <t>Spain</t>
        </is>
      </c>
      <c r="C121" s="4" t="inlineStr">
        <is>
          <t>JIMENEZ Pablo</t>
        </is>
      </c>
      <c r="D121" s="5" t="inlineStr">
        <is>
          <t>data (81).xlsx</t>
        </is>
      </c>
      <c r="E121" s="10" t="inlineStr">
        <is>
          <t>Open Pnl</t>
        </is>
      </c>
      <c r="F121" s="11" t="n">
        <v>64</v>
      </c>
      <c r="G121" s="11" t="n">
        <v>0</v>
      </c>
      <c r="H121" s="6" t="n">
        <v>0</v>
      </c>
      <c r="I121" s="5" t="inlineStr">
        <is>
          <t>EUR</t>
        </is>
      </c>
      <c r="J121" s="12" t="n">
        <v>31342.66</v>
      </c>
      <c r="K121" s="12" t="n">
        <v>4943.77</v>
      </c>
      <c r="L121" s="12" t="n">
        <v>31342.66</v>
      </c>
      <c r="M121" s="12" t="n">
        <v>4943.77</v>
      </c>
      <c r="N121" s="6" t="n">
        <v>0.157733</v>
      </c>
    </row>
    <row r="122">
      <c r="A122" s="8" t="n">
        <v>118</v>
      </c>
      <c r="B122" s="7" t="inlineStr">
        <is>
          <t>Spain</t>
        </is>
      </c>
      <c r="C122" s="7" t="inlineStr">
        <is>
          <t>RUIZ Clara</t>
        </is>
      </c>
      <c r="D122" s="8" t="inlineStr">
        <is>
          <t>data (82).xlsx</t>
        </is>
      </c>
      <c r="E122" s="13" t="inlineStr">
        <is>
          <t>Open Pnl</t>
        </is>
      </c>
      <c r="F122" s="14" t="n">
        <v>69</v>
      </c>
      <c r="G122" s="14" t="n">
        <v>1</v>
      </c>
      <c r="H122" s="9" t="n">
        <v>0.01449275362318841</v>
      </c>
      <c r="I122" s="8" t="inlineStr">
        <is>
          <t>EUR</t>
        </is>
      </c>
      <c r="J122" s="15" t="n">
        <v>164496.37</v>
      </c>
      <c r="K122" s="15" t="n">
        <v>24987.68</v>
      </c>
      <c r="L122" s="15" t="n">
        <v>164496.37</v>
      </c>
      <c r="M122" s="15" t="n">
        <v>24987.68</v>
      </c>
      <c r="N122" s="9" t="n">
        <v>0.151904</v>
      </c>
    </row>
    <row r="123">
      <c r="A123" s="5" t="n">
        <v>119</v>
      </c>
      <c r="B123" s="4" t="inlineStr">
        <is>
          <t>Spain</t>
        </is>
      </c>
      <c r="C123" s="4" t="inlineStr">
        <is>
          <t>HERNANDEZ Carlos</t>
        </is>
      </c>
      <c r="D123" s="5" t="inlineStr">
        <is>
          <t>data (83).xlsx</t>
        </is>
      </c>
      <c r="E123" s="10" t="inlineStr">
        <is>
          <t>Open Pnl</t>
        </is>
      </c>
      <c r="F123" s="11" t="n">
        <v>75</v>
      </c>
      <c r="G123" s="11" t="n">
        <v>2</v>
      </c>
      <c r="H123" s="6" t="n">
        <v>0.02666666666666667</v>
      </c>
      <c r="I123" s="5" t="inlineStr">
        <is>
          <t>EUR</t>
        </is>
      </c>
      <c r="J123" s="12" t="n">
        <v>32318.03</v>
      </c>
      <c r="K123" s="12" t="n">
        <v>5116.55</v>
      </c>
      <c r="L123" s="12" t="n">
        <v>32318.03</v>
      </c>
      <c r="M123" s="12" t="n">
        <v>5116.55</v>
      </c>
      <c r="N123" s="6" t="n">
        <v>0.158319</v>
      </c>
    </row>
    <row r="124">
      <c r="A124" s="8" t="n">
        <v>120</v>
      </c>
      <c r="B124" s="7" t="inlineStr">
        <is>
          <t>Spain</t>
        </is>
      </c>
      <c r="C124" s="7" t="inlineStr">
        <is>
          <t>DIAZ Marta</t>
        </is>
      </c>
      <c r="D124" s="8" t="inlineStr">
        <is>
          <t>data (84).xlsx</t>
        </is>
      </c>
      <c r="E124" s="13" t="inlineStr">
        <is>
          <t>Open Pnl</t>
        </is>
      </c>
      <c r="F124" s="14" t="n">
        <v>79</v>
      </c>
      <c r="G124" s="14" t="n">
        <v>2</v>
      </c>
      <c r="H124" s="9" t="n">
        <v>0.02531645569620253</v>
      </c>
      <c r="I124" s="8" t="inlineStr">
        <is>
          <t>EUR</t>
        </is>
      </c>
      <c r="J124" s="15" t="n">
        <v>116671.13</v>
      </c>
      <c r="K124" s="15" t="n">
        <v>18471.69</v>
      </c>
      <c r="L124" s="15" t="n">
        <v>116671.13</v>
      </c>
      <c r="M124" s="15" t="n">
        <v>18471.69</v>
      </c>
      <c r="N124" s="9" t="n">
        <v>0.158323</v>
      </c>
    </row>
    <row r="125">
      <c r="A125" s="5" t="n">
        <v>121</v>
      </c>
      <c r="B125" s="4" t="inlineStr">
        <is>
          <t>Spain</t>
        </is>
      </c>
      <c r="C125" s="4" t="inlineStr">
        <is>
          <t>MORENO Diego</t>
        </is>
      </c>
      <c r="D125" s="5" t="inlineStr">
        <is>
          <t>data (85).xlsx</t>
        </is>
      </c>
      <c r="E125" s="10" t="inlineStr">
        <is>
          <t>Open Pnl</t>
        </is>
      </c>
      <c r="F125" s="11" t="n">
        <v>85</v>
      </c>
      <c r="G125" s="11" t="n">
        <v>1</v>
      </c>
      <c r="H125" s="6" t="n">
        <v>0.01176470588235294</v>
      </c>
      <c r="I125" s="5" t="inlineStr">
        <is>
          <t>EUR</t>
        </is>
      </c>
      <c r="J125" s="12" t="n">
        <v>104029.09</v>
      </c>
      <c r="K125" s="12" t="n">
        <v>16967.4</v>
      </c>
      <c r="L125" s="12" t="n">
        <v>104029.09</v>
      </c>
      <c r="M125" s="12" t="n">
        <v>16967.4</v>
      </c>
      <c r="N125" s="6" t="n">
        <v>0.163102</v>
      </c>
    </row>
    <row r="126">
      <c r="A126" s="8" t="n">
        <v>122</v>
      </c>
      <c r="B126" s="7" t="inlineStr">
        <is>
          <t>Spain</t>
        </is>
      </c>
      <c r="C126" s="7" t="inlineStr">
        <is>
          <t>MUNOZ Laura</t>
        </is>
      </c>
      <c r="D126" s="8" t="inlineStr">
        <is>
          <t>data (86).xlsx</t>
        </is>
      </c>
      <c r="E126" s="13" t="inlineStr">
        <is>
          <t>Open Pnl</t>
        </is>
      </c>
      <c r="F126" s="14" t="n">
        <v>90</v>
      </c>
      <c r="G126" s="14" t="n">
        <v>0</v>
      </c>
      <c r="H126" s="9" t="n">
        <v>0</v>
      </c>
      <c r="I126" s="8" t="inlineStr">
        <is>
          <t>EUR</t>
        </is>
      </c>
      <c r="J126" s="15" t="n">
        <v>33624.2</v>
      </c>
      <c r="K126" s="15" t="n">
        <v>5370.69</v>
      </c>
      <c r="L126" s="15" t="n">
        <v>33624.2</v>
      </c>
      <c r="M126" s="15" t="n">
        <v>5370.69</v>
      </c>
      <c r="N126" s="9" t="n">
        <v>0.159727</v>
      </c>
    </row>
    <row r="127">
      <c r="A127" s="5" t="n">
        <v>123</v>
      </c>
      <c r="B127" s="4" t="inlineStr">
        <is>
          <t>Spain</t>
        </is>
      </c>
      <c r="C127" s="4" t="inlineStr">
        <is>
          <t>ALVAREZ Adrian</t>
        </is>
      </c>
      <c r="D127" s="5" t="inlineStr">
        <is>
          <t>data (87).xlsx</t>
        </is>
      </c>
      <c r="E127" s="10" t="inlineStr">
        <is>
          <t>Open Pnl</t>
        </is>
      </c>
      <c r="F127" s="11" t="n">
        <v>94</v>
      </c>
      <c r="G127" s="11" t="n">
        <v>0</v>
      </c>
      <c r="H127" s="6" t="n">
        <v>0</v>
      </c>
      <c r="I127" s="5" t="inlineStr">
        <is>
          <t>EUR</t>
        </is>
      </c>
      <c r="J127" s="12" t="n">
        <v>99614.35000000001</v>
      </c>
      <c r="K127" s="12" t="n">
        <v>15859.71</v>
      </c>
      <c r="L127" s="12" t="n">
        <v>99614.35000000001</v>
      </c>
      <c r="M127" s="12" t="n">
        <v>15859.71</v>
      </c>
      <c r="N127" s="6" t="n">
        <v>0.159211</v>
      </c>
    </row>
    <row r="128">
      <c r="A128" s="8" t="n">
        <v>124</v>
      </c>
      <c r="B128" s="7" t="inlineStr">
        <is>
          <t>Spain</t>
        </is>
      </c>
      <c r="C128" s="7" t="inlineStr">
        <is>
          <t>CASTRO Alba</t>
        </is>
      </c>
      <c r="D128" s="8" t="inlineStr">
        <is>
          <t>data (88).xlsx</t>
        </is>
      </c>
      <c r="E128" s="13" t="inlineStr">
        <is>
          <t>Open Pnl</t>
        </is>
      </c>
      <c r="F128" s="14" t="n">
        <v>81</v>
      </c>
      <c r="G128" s="14" t="n">
        <v>2</v>
      </c>
      <c r="H128" s="9" t="n">
        <v>0.02469135802469136</v>
      </c>
      <c r="I128" s="8" t="inlineStr">
        <is>
          <t>EUR</t>
        </is>
      </c>
      <c r="J128" s="15" t="n">
        <v>32486.9</v>
      </c>
      <c r="K128" s="15" t="n">
        <v>5867.51</v>
      </c>
      <c r="L128" s="15" t="n">
        <v>32486.9</v>
      </c>
      <c r="M128" s="15" t="n">
        <v>5867.51</v>
      </c>
      <c r="N128" s="9" t="n">
        <v>0.180612</v>
      </c>
    </row>
    <row r="129">
      <c r="A129" s="5" t="n">
        <v>125</v>
      </c>
      <c r="B129" s="4" t="inlineStr">
        <is>
          <t>Spain</t>
        </is>
      </c>
      <c r="C129" s="4" t="inlineStr">
        <is>
          <t>ORTEGA Hugo</t>
        </is>
      </c>
      <c r="D129" s="5" t="inlineStr">
        <is>
          <t>data (89).xlsx</t>
        </is>
      </c>
      <c r="E129" s="10" t="inlineStr">
        <is>
          <t>Open Pnl</t>
        </is>
      </c>
      <c r="F129" s="11" t="n">
        <v>46</v>
      </c>
      <c r="G129" s="11" t="n">
        <v>1</v>
      </c>
      <c r="H129" s="6" t="n">
        <v>0.02173913043478261</v>
      </c>
      <c r="I129" s="5" t="inlineStr">
        <is>
          <t>EUR</t>
        </is>
      </c>
      <c r="J129" s="12" t="n">
        <v>128830.75</v>
      </c>
      <c r="K129" s="12" t="n">
        <v>20403.73</v>
      </c>
      <c r="L129" s="12" t="n">
        <v>128830.75</v>
      </c>
      <c r="M129" s="12" t="n">
        <v>20403.73</v>
      </c>
      <c r="N129" s="6" t="n">
        <v>0.158376</v>
      </c>
    </row>
    <row r="130">
      <c r="A130" s="8" t="n">
        <v>126</v>
      </c>
      <c r="B130" s="7" t="inlineStr">
        <is>
          <t>Vietnam</t>
        </is>
      </c>
      <c r="C130" s="7" t="inlineStr">
        <is>
          <t>DANG Khoa</t>
        </is>
      </c>
      <c r="D130" s="8" t="inlineStr">
        <is>
          <t>data (9).xlsx</t>
        </is>
      </c>
      <c r="E130" s="13" t="inlineStr">
        <is>
          <t>Open Pnl</t>
        </is>
      </c>
      <c r="F130" s="14" t="n">
        <v>89</v>
      </c>
      <c r="G130" s="14" t="n">
        <v>2</v>
      </c>
      <c r="H130" s="9" t="n">
        <v>0.02247191011235955</v>
      </c>
      <c r="I130" s="8" t="inlineStr">
        <is>
          <t>VND</t>
        </is>
      </c>
      <c r="J130" s="15" t="n">
        <v>1852346889.09</v>
      </c>
      <c r="K130" s="15" t="n">
        <v>299439788.16</v>
      </c>
      <c r="L130" s="15" t="n">
        <v>67610.66</v>
      </c>
      <c r="M130" s="15" t="n">
        <v>10929.55</v>
      </c>
      <c r="N130" s="9" t="n">
        <v>0.161654</v>
      </c>
    </row>
    <row r="131">
      <c r="A131" s="5" t="n">
        <v>127</v>
      </c>
      <c r="B131" s="4" t="inlineStr">
        <is>
          <t>Spain</t>
        </is>
      </c>
      <c r="C131" s="4" t="inlineStr">
        <is>
          <t>DELGADO Irene</t>
        </is>
      </c>
      <c r="D131" s="5" t="inlineStr">
        <is>
          <t>data (90).xlsx</t>
        </is>
      </c>
      <c r="E131" s="10" t="inlineStr">
        <is>
          <t>Open Pnl</t>
        </is>
      </c>
      <c r="F131" s="11" t="n">
        <v>109</v>
      </c>
      <c r="G131" s="11" t="n">
        <v>0</v>
      </c>
      <c r="H131" s="6" t="n">
        <v>0</v>
      </c>
      <c r="I131" s="5" t="inlineStr">
        <is>
          <t>EUR</t>
        </is>
      </c>
      <c r="J131" s="12" t="n">
        <v>37783.56</v>
      </c>
      <c r="K131" s="12" t="n">
        <v>5841.62</v>
      </c>
      <c r="L131" s="12" t="n">
        <v>37783.56</v>
      </c>
      <c r="M131" s="12" t="n">
        <v>5841.62</v>
      </c>
      <c r="N131" s="6" t="n">
        <v>0.154607</v>
      </c>
    </row>
    <row r="132">
      <c r="A132" s="8" t="n">
        <v>128</v>
      </c>
      <c r="B132" s="7" t="inlineStr">
        <is>
          <t>Spain</t>
        </is>
      </c>
      <c r="C132" s="7" t="inlineStr">
        <is>
          <t>VEGA Raul</t>
        </is>
      </c>
      <c r="D132" s="8" t="inlineStr">
        <is>
          <t>data (91).xlsx</t>
        </is>
      </c>
      <c r="E132" s="13" t="inlineStr">
        <is>
          <t>Open Pnl</t>
        </is>
      </c>
      <c r="F132" s="14" t="n">
        <v>114</v>
      </c>
      <c r="G132" s="14" t="n">
        <v>2</v>
      </c>
      <c r="H132" s="9" t="n">
        <v>0.01754385964912281</v>
      </c>
      <c r="I132" s="8" t="inlineStr">
        <is>
          <t>EUR</t>
        </is>
      </c>
      <c r="J132" s="15" t="n">
        <v>90021.03</v>
      </c>
      <c r="K132" s="15" t="n">
        <v>14896.5</v>
      </c>
      <c r="L132" s="15" t="n">
        <v>90021.03</v>
      </c>
      <c r="M132" s="15" t="n">
        <v>14896.5</v>
      </c>
      <c r="N132" s="9" t="n">
        <v>0.165478</v>
      </c>
    </row>
    <row r="133">
      <c r="A133" s="5" t="n">
        <v>129</v>
      </c>
      <c r="B133" s="4" t="inlineStr">
        <is>
          <t>Spain</t>
        </is>
      </c>
      <c r="C133" s="4" t="inlineStr">
        <is>
          <t>RAMOS Natalia</t>
        </is>
      </c>
      <c r="D133" s="5" t="inlineStr">
        <is>
          <t>data (92).xlsx</t>
        </is>
      </c>
      <c r="E133" s="10" t="inlineStr">
        <is>
          <t>Open Pnl</t>
        </is>
      </c>
      <c r="F133" s="11" t="n">
        <v>119</v>
      </c>
      <c r="G133" s="11" t="n">
        <v>0</v>
      </c>
      <c r="H133" s="6" t="n">
        <v>0</v>
      </c>
      <c r="I133" s="5" t="inlineStr">
        <is>
          <t>EUR</t>
        </is>
      </c>
      <c r="J133" s="12" t="n">
        <v>40089.33</v>
      </c>
      <c r="K133" s="12" t="n">
        <v>6905.65</v>
      </c>
      <c r="L133" s="12" t="n">
        <v>40089.33</v>
      </c>
      <c r="M133" s="12" t="n">
        <v>6905.65</v>
      </c>
      <c r="N133" s="6" t="n">
        <v>0.172257</v>
      </c>
    </row>
    <row r="134">
      <c r="A134" s="8" t="n">
        <v>130</v>
      </c>
      <c r="B134" s="7" t="inlineStr">
        <is>
          <t>Spain</t>
        </is>
      </c>
      <c r="C134" s="7" t="inlineStr">
        <is>
          <t>CRUZ Sergio</t>
        </is>
      </c>
      <c r="D134" s="8" t="inlineStr">
        <is>
          <t>data (93).xlsx</t>
        </is>
      </c>
      <c r="E134" s="13" t="inlineStr">
        <is>
          <t>Open Pnl</t>
        </is>
      </c>
      <c r="F134" s="14" t="n">
        <v>124</v>
      </c>
      <c r="G134" s="14" t="n">
        <v>2</v>
      </c>
      <c r="H134" s="9" t="n">
        <v>0.01612903225806452</v>
      </c>
      <c r="I134" s="8" t="inlineStr">
        <is>
          <t>EUR</t>
        </is>
      </c>
      <c r="J134" s="15" t="n">
        <v>72776.23</v>
      </c>
      <c r="K134" s="15" t="n">
        <v>11838.81</v>
      </c>
      <c r="L134" s="15" t="n">
        <v>72776.23</v>
      </c>
      <c r="M134" s="15" t="n">
        <v>11838.81</v>
      </c>
      <c r="N134" s="9" t="n">
        <v>0.162674</v>
      </c>
    </row>
    <row r="135">
      <c r="A135" s="5" t="n">
        <v>131</v>
      </c>
      <c r="B135" s="4" t="inlineStr">
        <is>
          <t>Spain</t>
        </is>
      </c>
      <c r="C135" s="4" t="inlineStr">
        <is>
          <t>PASCUAL Alicia</t>
        </is>
      </c>
      <c r="D135" s="5" t="inlineStr">
        <is>
          <t>data (94).xlsx</t>
        </is>
      </c>
      <c r="E135" s="10" t="inlineStr">
        <is>
          <t>Open Pnl</t>
        </is>
      </c>
      <c r="F135" s="11" t="n">
        <v>130</v>
      </c>
      <c r="G135" s="11" t="n">
        <v>0</v>
      </c>
      <c r="H135" s="6" t="n">
        <v>0</v>
      </c>
      <c r="I135" s="5" t="inlineStr">
        <is>
          <t>EUR</t>
        </is>
      </c>
      <c r="J135" s="12" t="n">
        <v>39833.31</v>
      </c>
      <c r="K135" s="12" t="n">
        <v>6253.66</v>
      </c>
      <c r="L135" s="12" t="n">
        <v>39833.31</v>
      </c>
      <c r="M135" s="12" t="n">
        <v>6253.66</v>
      </c>
      <c r="N135" s="6" t="n">
        <v>0.156996</v>
      </c>
    </row>
    <row r="136">
      <c r="A136" s="8" t="n">
        <v>132</v>
      </c>
      <c r="B136" s="7" t="inlineStr">
        <is>
          <t>Spain</t>
        </is>
      </c>
      <c r="C136" s="7" t="inlineStr">
        <is>
          <t>MOLINA Bruno</t>
        </is>
      </c>
      <c r="D136" s="8" t="inlineStr">
        <is>
          <t>data (95).xlsx</t>
        </is>
      </c>
      <c r="E136" s="13" t="inlineStr">
        <is>
          <t>Open Pnl</t>
        </is>
      </c>
      <c r="F136" s="14" t="n">
        <v>134</v>
      </c>
      <c r="G136" s="14" t="n">
        <v>0</v>
      </c>
      <c r="H136" s="9" t="n">
        <v>0</v>
      </c>
      <c r="I136" s="8" t="inlineStr">
        <is>
          <t>EUR</t>
        </is>
      </c>
      <c r="J136" s="15" t="n">
        <v>21870.98</v>
      </c>
      <c r="K136" s="15" t="n">
        <v>3186.48</v>
      </c>
      <c r="L136" s="15" t="n">
        <v>21870.98</v>
      </c>
      <c r="M136" s="15" t="n">
        <v>3186.48</v>
      </c>
      <c r="N136" s="9" t="n">
        <v>0.145694</v>
      </c>
    </row>
    <row r="137">
      <c r="A137" s="5" t="n">
        <v>133</v>
      </c>
      <c r="B137" s="4" t="inlineStr">
        <is>
          <t>Canada</t>
        </is>
      </c>
      <c r="C137" s="4" t="inlineStr">
        <is>
          <t>MARTIN Olivia</t>
        </is>
      </c>
      <c r="D137" s="5" t="inlineStr">
        <is>
          <t>data (96).xlsx</t>
        </is>
      </c>
      <c r="E137" s="10" t="inlineStr">
        <is>
          <t>Open Pnl</t>
        </is>
      </c>
      <c r="F137" s="11" t="n">
        <v>72</v>
      </c>
      <c r="G137" s="11" t="n">
        <v>2</v>
      </c>
      <c r="H137" s="6" t="n">
        <v>0.02777777777777778</v>
      </c>
      <c r="I137" s="5" t="inlineStr">
        <is>
          <t>CAD</t>
        </is>
      </c>
      <c r="J137" s="12" t="n">
        <v>97917.05</v>
      </c>
      <c r="K137" s="12" t="n">
        <v>15562.16</v>
      </c>
      <c r="L137" s="12" t="n">
        <v>66583.59</v>
      </c>
      <c r="M137" s="12" t="n">
        <v>10582.27</v>
      </c>
      <c r="N137" s="6" t="n">
        <v>0.158932</v>
      </c>
    </row>
    <row r="138">
      <c r="A138" s="8" t="n">
        <v>134</v>
      </c>
      <c r="B138" s="7" t="inlineStr">
        <is>
          <t>Canada</t>
        </is>
      </c>
      <c r="C138" s="7" t="inlineStr">
        <is>
          <t>BOUCHARD Etienne</t>
        </is>
      </c>
      <c r="D138" s="8" t="inlineStr">
        <is>
          <t>data (97).xlsx</t>
        </is>
      </c>
      <c r="E138" s="13" t="inlineStr">
        <is>
          <t>Open Pnl</t>
        </is>
      </c>
      <c r="F138" s="14" t="n">
        <v>76</v>
      </c>
      <c r="G138" s="14" t="n">
        <v>0</v>
      </c>
      <c r="H138" s="9" t="n">
        <v>0</v>
      </c>
      <c r="I138" s="8" t="inlineStr">
        <is>
          <t>CAD</t>
        </is>
      </c>
      <c r="J138" s="15" t="n">
        <v>218891.81</v>
      </c>
      <c r="K138" s="15" t="n">
        <v>34951.95</v>
      </c>
      <c r="L138" s="15" t="n">
        <v>148846.43</v>
      </c>
      <c r="M138" s="15" t="n">
        <v>23767.33</v>
      </c>
      <c r="N138" s="9" t="n">
        <v>0.159677</v>
      </c>
    </row>
    <row r="139">
      <c r="A139" s="5" t="n">
        <v>135</v>
      </c>
      <c r="B139" s="4" t="inlineStr">
        <is>
          <t>Canada</t>
        </is>
      </c>
      <c r="C139" s="4" t="inlineStr">
        <is>
          <t>GAGNON Camille</t>
        </is>
      </c>
      <c r="D139" s="5" t="inlineStr">
        <is>
          <t>data (98).xlsx</t>
        </is>
      </c>
      <c r="E139" s="10" t="inlineStr">
        <is>
          <t>Open Pnl</t>
        </is>
      </c>
      <c r="F139" s="11" t="n">
        <v>81</v>
      </c>
      <c r="G139" s="11" t="n">
        <v>1</v>
      </c>
      <c r="H139" s="6" t="n">
        <v>0.01234567901234568</v>
      </c>
      <c r="I139" s="5" t="inlineStr">
        <is>
          <t>CAD</t>
        </is>
      </c>
      <c r="J139" s="12" t="n">
        <v>51923.88</v>
      </c>
      <c r="K139" s="12" t="n">
        <v>8382.129999999999</v>
      </c>
      <c r="L139" s="12" t="n">
        <v>35308.24</v>
      </c>
      <c r="M139" s="12" t="n">
        <v>5699.85</v>
      </c>
      <c r="N139" s="6" t="n">
        <v>0.161431</v>
      </c>
    </row>
    <row r="140">
      <c r="A140" s="8" t="n">
        <v>136</v>
      </c>
      <c r="B140" s="7" t="inlineStr">
        <is>
          <t>Canada</t>
        </is>
      </c>
      <c r="C140" s="7" t="inlineStr">
        <is>
          <t>TREMBLAY Laurent</t>
        </is>
      </c>
      <c r="D140" s="8" t="inlineStr">
        <is>
          <t>data (99).xlsx</t>
        </is>
      </c>
      <c r="E140" s="13" t="inlineStr">
        <is>
          <t>Open Pnl</t>
        </is>
      </c>
      <c r="F140" s="14" t="n">
        <v>85</v>
      </c>
      <c r="G140" s="14" t="n">
        <v>2</v>
      </c>
      <c r="H140" s="9" t="n">
        <v>0.02352941176470588</v>
      </c>
      <c r="I140" s="8" t="inlineStr">
        <is>
          <t>CAD</t>
        </is>
      </c>
      <c r="J140" s="15" t="n">
        <v>350809</v>
      </c>
      <c r="K140" s="15" t="n">
        <v>55087.53</v>
      </c>
      <c r="L140" s="15" t="n">
        <v>238550.12</v>
      </c>
      <c r="M140" s="15" t="n">
        <v>37459.52</v>
      </c>
      <c r="N140" s="9" t="n">
        <v>0.15703</v>
      </c>
    </row>
  </sheetData>
  <autoFilter ref="A4:N140"/>
  <mergeCells count="2">
    <mergeCell ref="A2:N2"/>
    <mergeCell ref="A1:N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39" r:id="rId35"/>
    <hyperlink xmlns:r="http://schemas.openxmlformats.org/officeDocument/2006/relationships" ref="E40" r:id="rId36"/>
    <hyperlink xmlns:r="http://schemas.openxmlformats.org/officeDocument/2006/relationships" ref="E41" r:id="rId37"/>
    <hyperlink xmlns:r="http://schemas.openxmlformats.org/officeDocument/2006/relationships" ref="E42" r:id="rId38"/>
    <hyperlink xmlns:r="http://schemas.openxmlformats.org/officeDocument/2006/relationships" ref="E43" r:id="rId39"/>
    <hyperlink xmlns:r="http://schemas.openxmlformats.org/officeDocument/2006/relationships" ref="E44" r:id="rId40"/>
    <hyperlink xmlns:r="http://schemas.openxmlformats.org/officeDocument/2006/relationships" ref="E45" r:id="rId41"/>
    <hyperlink xmlns:r="http://schemas.openxmlformats.org/officeDocument/2006/relationships" ref="E46" r:id="rId42"/>
    <hyperlink xmlns:r="http://schemas.openxmlformats.org/officeDocument/2006/relationships" ref="E47" r:id="rId43"/>
    <hyperlink xmlns:r="http://schemas.openxmlformats.org/officeDocument/2006/relationships" ref="E48" r:id="rId44"/>
    <hyperlink xmlns:r="http://schemas.openxmlformats.org/officeDocument/2006/relationships" ref="E49" r:id="rId45"/>
    <hyperlink xmlns:r="http://schemas.openxmlformats.org/officeDocument/2006/relationships" ref="E50" r:id="rId46"/>
    <hyperlink xmlns:r="http://schemas.openxmlformats.org/officeDocument/2006/relationships" ref="E51" r:id="rId47"/>
    <hyperlink xmlns:r="http://schemas.openxmlformats.org/officeDocument/2006/relationships" ref="E52" r:id="rId48"/>
    <hyperlink xmlns:r="http://schemas.openxmlformats.org/officeDocument/2006/relationships" ref="E53" r:id="rId49"/>
    <hyperlink xmlns:r="http://schemas.openxmlformats.org/officeDocument/2006/relationships" ref="E54" r:id="rId50"/>
    <hyperlink xmlns:r="http://schemas.openxmlformats.org/officeDocument/2006/relationships" ref="E55" r:id="rId51"/>
    <hyperlink xmlns:r="http://schemas.openxmlformats.org/officeDocument/2006/relationships" ref="E56" r:id="rId52"/>
    <hyperlink xmlns:r="http://schemas.openxmlformats.org/officeDocument/2006/relationships" ref="E57" r:id="rId53"/>
    <hyperlink xmlns:r="http://schemas.openxmlformats.org/officeDocument/2006/relationships" ref="E58" r:id="rId54"/>
    <hyperlink xmlns:r="http://schemas.openxmlformats.org/officeDocument/2006/relationships" ref="E59" r:id="rId55"/>
    <hyperlink xmlns:r="http://schemas.openxmlformats.org/officeDocument/2006/relationships" ref="E60" r:id="rId56"/>
    <hyperlink xmlns:r="http://schemas.openxmlformats.org/officeDocument/2006/relationships" ref="E61" r:id="rId57"/>
    <hyperlink xmlns:r="http://schemas.openxmlformats.org/officeDocument/2006/relationships" ref="E62" r:id="rId58"/>
    <hyperlink xmlns:r="http://schemas.openxmlformats.org/officeDocument/2006/relationships" ref="E63" r:id="rId59"/>
    <hyperlink xmlns:r="http://schemas.openxmlformats.org/officeDocument/2006/relationships" ref="E64" r:id="rId60"/>
    <hyperlink xmlns:r="http://schemas.openxmlformats.org/officeDocument/2006/relationships" ref="E65" r:id="rId61"/>
    <hyperlink xmlns:r="http://schemas.openxmlformats.org/officeDocument/2006/relationships" ref="E66" r:id="rId62"/>
    <hyperlink xmlns:r="http://schemas.openxmlformats.org/officeDocument/2006/relationships" ref="E67" r:id="rId63"/>
    <hyperlink xmlns:r="http://schemas.openxmlformats.org/officeDocument/2006/relationships" ref="E68" r:id="rId64"/>
    <hyperlink xmlns:r="http://schemas.openxmlformats.org/officeDocument/2006/relationships" ref="E69" r:id="rId65"/>
    <hyperlink xmlns:r="http://schemas.openxmlformats.org/officeDocument/2006/relationships" ref="E70" r:id="rId66"/>
    <hyperlink xmlns:r="http://schemas.openxmlformats.org/officeDocument/2006/relationships" ref="E71" r:id="rId67"/>
    <hyperlink xmlns:r="http://schemas.openxmlformats.org/officeDocument/2006/relationships" ref="E72" r:id="rId68"/>
    <hyperlink xmlns:r="http://schemas.openxmlformats.org/officeDocument/2006/relationships" ref="E73" r:id="rId69"/>
    <hyperlink xmlns:r="http://schemas.openxmlformats.org/officeDocument/2006/relationships" ref="E74" r:id="rId70"/>
    <hyperlink xmlns:r="http://schemas.openxmlformats.org/officeDocument/2006/relationships" ref="E75" r:id="rId71"/>
    <hyperlink xmlns:r="http://schemas.openxmlformats.org/officeDocument/2006/relationships" ref="E76" r:id="rId72"/>
    <hyperlink xmlns:r="http://schemas.openxmlformats.org/officeDocument/2006/relationships" ref="E77" r:id="rId73"/>
    <hyperlink xmlns:r="http://schemas.openxmlformats.org/officeDocument/2006/relationships" ref="E78" r:id="rId74"/>
    <hyperlink xmlns:r="http://schemas.openxmlformats.org/officeDocument/2006/relationships" ref="E79" r:id="rId75"/>
    <hyperlink xmlns:r="http://schemas.openxmlformats.org/officeDocument/2006/relationships" ref="E80" r:id="rId76"/>
    <hyperlink xmlns:r="http://schemas.openxmlformats.org/officeDocument/2006/relationships" ref="E81" r:id="rId77"/>
    <hyperlink xmlns:r="http://schemas.openxmlformats.org/officeDocument/2006/relationships" ref="E82" r:id="rId78"/>
    <hyperlink xmlns:r="http://schemas.openxmlformats.org/officeDocument/2006/relationships" ref="E83" r:id="rId79"/>
    <hyperlink xmlns:r="http://schemas.openxmlformats.org/officeDocument/2006/relationships" ref="E84" r:id="rId80"/>
    <hyperlink xmlns:r="http://schemas.openxmlformats.org/officeDocument/2006/relationships" ref="E85" r:id="rId81"/>
    <hyperlink xmlns:r="http://schemas.openxmlformats.org/officeDocument/2006/relationships" ref="E86" r:id="rId82"/>
    <hyperlink xmlns:r="http://schemas.openxmlformats.org/officeDocument/2006/relationships" ref="E87" r:id="rId83"/>
    <hyperlink xmlns:r="http://schemas.openxmlformats.org/officeDocument/2006/relationships" ref="E88" r:id="rId84"/>
    <hyperlink xmlns:r="http://schemas.openxmlformats.org/officeDocument/2006/relationships" ref="E89" r:id="rId85"/>
    <hyperlink xmlns:r="http://schemas.openxmlformats.org/officeDocument/2006/relationships" ref="E90" r:id="rId86"/>
    <hyperlink xmlns:r="http://schemas.openxmlformats.org/officeDocument/2006/relationships" ref="E91" r:id="rId87"/>
    <hyperlink xmlns:r="http://schemas.openxmlformats.org/officeDocument/2006/relationships" ref="E92" r:id="rId88"/>
    <hyperlink xmlns:r="http://schemas.openxmlformats.org/officeDocument/2006/relationships" ref="E93" r:id="rId89"/>
    <hyperlink xmlns:r="http://schemas.openxmlformats.org/officeDocument/2006/relationships" ref="E94" r:id="rId90"/>
    <hyperlink xmlns:r="http://schemas.openxmlformats.org/officeDocument/2006/relationships" ref="E95" r:id="rId91"/>
    <hyperlink xmlns:r="http://schemas.openxmlformats.org/officeDocument/2006/relationships" ref="E96" r:id="rId92"/>
    <hyperlink xmlns:r="http://schemas.openxmlformats.org/officeDocument/2006/relationships" ref="E97" r:id="rId93"/>
    <hyperlink xmlns:r="http://schemas.openxmlformats.org/officeDocument/2006/relationships" ref="E98" r:id="rId94"/>
    <hyperlink xmlns:r="http://schemas.openxmlformats.org/officeDocument/2006/relationships" ref="E99" r:id="rId95"/>
    <hyperlink xmlns:r="http://schemas.openxmlformats.org/officeDocument/2006/relationships" ref="E100" r:id="rId96"/>
    <hyperlink xmlns:r="http://schemas.openxmlformats.org/officeDocument/2006/relationships" ref="E101" r:id="rId97"/>
    <hyperlink xmlns:r="http://schemas.openxmlformats.org/officeDocument/2006/relationships" ref="E102" r:id="rId98"/>
    <hyperlink xmlns:r="http://schemas.openxmlformats.org/officeDocument/2006/relationships" ref="E103" r:id="rId99"/>
    <hyperlink xmlns:r="http://schemas.openxmlformats.org/officeDocument/2006/relationships" ref="E104" r:id="rId100"/>
    <hyperlink xmlns:r="http://schemas.openxmlformats.org/officeDocument/2006/relationships" ref="E105" r:id="rId101"/>
    <hyperlink xmlns:r="http://schemas.openxmlformats.org/officeDocument/2006/relationships" ref="E106" r:id="rId102"/>
    <hyperlink xmlns:r="http://schemas.openxmlformats.org/officeDocument/2006/relationships" ref="E107" r:id="rId103"/>
    <hyperlink xmlns:r="http://schemas.openxmlformats.org/officeDocument/2006/relationships" ref="E108" r:id="rId104"/>
    <hyperlink xmlns:r="http://schemas.openxmlformats.org/officeDocument/2006/relationships" ref="E109" r:id="rId105"/>
    <hyperlink xmlns:r="http://schemas.openxmlformats.org/officeDocument/2006/relationships" ref="E110" r:id="rId106"/>
    <hyperlink xmlns:r="http://schemas.openxmlformats.org/officeDocument/2006/relationships" ref="E111" r:id="rId107"/>
    <hyperlink xmlns:r="http://schemas.openxmlformats.org/officeDocument/2006/relationships" ref="E112" r:id="rId108"/>
    <hyperlink xmlns:r="http://schemas.openxmlformats.org/officeDocument/2006/relationships" ref="E113" r:id="rId109"/>
    <hyperlink xmlns:r="http://schemas.openxmlformats.org/officeDocument/2006/relationships" ref="E114" r:id="rId110"/>
    <hyperlink xmlns:r="http://schemas.openxmlformats.org/officeDocument/2006/relationships" ref="E115" r:id="rId111"/>
    <hyperlink xmlns:r="http://schemas.openxmlformats.org/officeDocument/2006/relationships" ref="E116" r:id="rId112"/>
    <hyperlink xmlns:r="http://schemas.openxmlformats.org/officeDocument/2006/relationships" ref="E117" r:id="rId113"/>
    <hyperlink xmlns:r="http://schemas.openxmlformats.org/officeDocument/2006/relationships" ref="E118" r:id="rId114"/>
    <hyperlink xmlns:r="http://schemas.openxmlformats.org/officeDocument/2006/relationships" ref="E119" r:id="rId115"/>
    <hyperlink xmlns:r="http://schemas.openxmlformats.org/officeDocument/2006/relationships" ref="E120" r:id="rId116"/>
    <hyperlink xmlns:r="http://schemas.openxmlformats.org/officeDocument/2006/relationships" ref="E121" r:id="rId117"/>
    <hyperlink xmlns:r="http://schemas.openxmlformats.org/officeDocument/2006/relationships" ref="E122" r:id="rId118"/>
    <hyperlink xmlns:r="http://schemas.openxmlformats.org/officeDocument/2006/relationships" ref="E123" r:id="rId119"/>
    <hyperlink xmlns:r="http://schemas.openxmlformats.org/officeDocument/2006/relationships" ref="E124" r:id="rId120"/>
    <hyperlink xmlns:r="http://schemas.openxmlformats.org/officeDocument/2006/relationships" ref="E125" r:id="rId121"/>
    <hyperlink xmlns:r="http://schemas.openxmlformats.org/officeDocument/2006/relationships" ref="E126" r:id="rId122"/>
    <hyperlink xmlns:r="http://schemas.openxmlformats.org/officeDocument/2006/relationships" ref="E127" r:id="rId123"/>
    <hyperlink xmlns:r="http://schemas.openxmlformats.org/officeDocument/2006/relationships" ref="E128" r:id="rId124"/>
    <hyperlink xmlns:r="http://schemas.openxmlformats.org/officeDocument/2006/relationships" ref="E129" r:id="rId125"/>
    <hyperlink xmlns:r="http://schemas.openxmlformats.org/officeDocument/2006/relationships" ref="E130" r:id="rId126"/>
    <hyperlink xmlns:r="http://schemas.openxmlformats.org/officeDocument/2006/relationships" ref="E131" r:id="rId127"/>
    <hyperlink xmlns:r="http://schemas.openxmlformats.org/officeDocument/2006/relationships" ref="E132" r:id="rId128"/>
    <hyperlink xmlns:r="http://schemas.openxmlformats.org/officeDocument/2006/relationships" ref="E133" r:id="rId129"/>
    <hyperlink xmlns:r="http://schemas.openxmlformats.org/officeDocument/2006/relationships" ref="E134" r:id="rId130"/>
    <hyperlink xmlns:r="http://schemas.openxmlformats.org/officeDocument/2006/relationships" ref="E135" r:id="rId131"/>
    <hyperlink xmlns:r="http://schemas.openxmlformats.org/officeDocument/2006/relationships" ref="E136" r:id="rId132"/>
    <hyperlink xmlns:r="http://schemas.openxmlformats.org/officeDocument/2006/relationships" ref="E137" r:id="rId133"/>
    <hyperlink xmlns:r="http://schemas.openxmlformats.org/officeDocument/2006/relationships" ref="E138" r:id="rId134"/>
    <hyperlink xmlns:r="http://schemas.openxmlformats.org/officeDocument/2006/relationships" ref="E139" r:id="rId135"/>
    <hyperlink xmlns:r="http://schemas.openxmlformats.org/officeDocument/2006/relationships" ref="E140" r:id="rId13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1" customWidth="1" min="3" max="3"/>
    <col width="22" customWidth="1" min="4" max="4"/>
    <col width="18" customWidth="1" min="5" max="5"/>
    <col width="42" customWidth="1" min="6" max="6"/>
    <col width="22" customWidth="1" min="7" max="7"/>
    <col width="65" customWidth="1" min="8" max="8"/>
    <col width="13" customWidth="1" min="9" max="9"/>
    <col width="13" customWidth="1" min="10" max="10"/>
    <col width="9" customWidth="1" min="11" max="11"/>
    <col width="13" customWidth="1" min="12" max="12"/>
    <col width="13" customWidth="1" min="13" max="13"/>
    <col width="9" customWidth="1" min="14" max="14"/>
    <col width="13" customWidth="1" min="15" max="15"/>
    <col width="13" customWidth="1" min="16" max="16"/>
    <col width="9" customWidth="1" min="17" max="17"/>
    <col width="13" customWidth="1" min="18" max="18"/>
    <col width="13" customWidth="1" min="19" max="19"/>
    <col width="9" customWidth="1" min="20" max="20"/>
    <col width="13" customWidth="1" min="21" max="21"/>
    <col width="13" customWidth="1" min="22" max="22"/>
    <col width="9" customWidth="1" min="23" max="23"/>
    <col width="14" customWidth="1" min="24" max="24"/>
    <col width="14" customWidth="1" min="25" max="25"/>
    <col width="10" customWidth="1" min="26" max="26"/>
    <col width="15" customWidth="1" min="27" max="27"/>
  </cols>
  <sheetData>
    <row r="1" ht="28" customHeight="1">
      <c r="A1" s="1" t="inlineStr">
        <is>
          <t>CA: Manager Pnl - High GM% Projects Summary (GM% &gt; 70%)</t>
        </is>
      </c>
    </row>
    <row r="2" ht="22" customHeight="1">
      <c r="A2" s="2" t="inlineStr">
        <is>
          <t>Total projects: 66</t>
        </is>
      </c>
    </row>
    <row r="3" ht="30" customHeight="1">
      <c r="A3" s="3" t="inlineStr">
        <is>
          <t>No.</t>
        </is>
      </c>
      <c r="B3" s="3" t="inlineStr">
        <is>
          <t>Country</t>
        </is>
      </c>
      <c r="C3" s="3" t="inlineStr">
        <is>
          <t>Currency</t>
        </is>
      </c>
      <c r="D3" s="3" t="inlineStr">
        <is>
          <t>BU</t>
        </is>
      </c>
      <c r="E3" s="3" t="inlineStr">
        <is>
          <t>Client</t>
        </is>
      </c>
      <c r="F3" s="3" t="inlineStr">
        <is>
          <t>Project</t>
        </is>
      </c>
      <c r="G3" s="3" t="inlineStr">
        <is>
          <t>Pattern</t>
        </is>
      </c>
      <c r="H3" s="3" t="inlineStr">
        <is>
          <t>Assessment</t>
        </is>
      </c>
      <c r="I3" s="16" t="inlineStr">
        <is>
          <t>1</t>
        </is>
      </c>
      <c r="L3" s="16" t="inlineStr">
        <is>
          <t>2</t>
        </is>
      </c>
      <c r="O3" s="16" t="inlineStr">
        <is>
          <t>3</t>
        </is>
      </c>
      <c r="R3" s="16" t="inlineStr">
        <is>
          <t>4</t>
        </is>
      </c>
      <c r="U3" s="16" t="inlineStr">
        <is>
          <t>5</t>
        </is>
      </c>
      <c r="X3" s="17" t="inlineStr">
        <is>
          <t>Total</t>
        </is>
      </c>
      <c r="AA3" s="17" t="inlineStr">
        <is>
          <t>%GM/Total BU</t>
        </is>
      </c>
    </row>
    <row r="4" ht="24" customHeight="1">
      <c r="I4" s="16" t="inlineStr">
        <is>
          <t>Rev</t>
        </is>
      </c>
      <c r="J4" s="16" t="inlineStr">
        <is>
          <t>GM</t>
        </is>
      </c>
      <c r="K4" s="16" t="inlineStr">
        <is>
          <t>GM%</t>
        </is>
      </c>
      <c r="L4" s="16" t="inlineStr">
        <is>
          <t>Rev</t>
        </is>
      </c>
      <c r="M4" s="16" t="inlineStr">
        <is>
          <t>GM</t>
        </is>
      </c>
      <c r="N4" s="16" t="inlineStr">
        <is>
          <t>GM%</t>
        </is>
      </c>
      <c r="O4" s="16" t="inlineStr">
        <is>
          <t>Rev</t>
        </is>
      </c>
      <c r="P4" s="16" t="inlineStr">
        <is>
          <t>GM</t>
        </is>
      </c>
      <c r="Q4" s="16" t="inlineStr">
        <is>
          <t>GM%</t>
        </is>
      </c>
      <c r="R4" s="16" t="inlineStr">
        <is>
          <t>Rev</t>
        </is>
      </c>
      <c r="S4" s="16" t="inlineStr">
        <is>
          <t>GM</t>
        </is>
      </c>
      <c r="T4" s="16" t="inlineStr">
        <is>
          <t>GM%</t>
        </is>
      </c>
      <c r="U4" s="16" t="inlineStr">
        <is>
          <t>Rev</t>
        </is>
      </c>
      <c r="V4" s="16" t="inlineStr">
        <is>
          <t>GM</t>
        </is>
      </c>
      <c r="W4" s="16" t="inlineStr">
        <is>
          <t>GM%</t>
        </is>
      </c>
      <c r="X4" s="17" t="inlineStr">
        <is>
          <t>Rev</t>
        </is>
      </c>
      <c r="Y4" s="17" t="inlineStr">
        <is>
          <t>GM</t>
        </is>
      </c>
      <c r="Z4" s="17" t="inlineStr">
        <is>
          <t>GM%</t>
        </is>
      </c>
    </row>
    <row r="5" ht="40" customHeight="1">
      <c r="A5" s="18" t="n">
        <v>1</v>
      </c>
      <c r="B5" s="18" t="inlineStr">
        <is>
          <t>Vietnam</t>
        </is>
      </c>
      <c r="C5" s="18" t="inlineStr">
        <is>
          <t>VND</t>
        </is>
      </c>
      <c r="D5" s="18" t="inlineStr">
        <is>
          <t>BUI Thanh</t>
        </is>
      </c>
      <c r="E5" s="19" t="inlineStr">
        <is>
          <t>IBM</t>
        </is>
      </c>
      <c r="F5" s="18" t="inlineStr">
        <is>
          <t>PR75119 - Mobile Application Development - BUI Thanh - 2026</t>
        </is>
      </c>
      <c r="G5" s="19" t="inlineStr">
        <is>
          <t>SYSTEMATIC_HIGH</t>
        </is>
      </c>
      <c r="H5" s="19" t="inlineStr">
        <is>
          <t>All 5 months &gt;70% -&gt; likely missing cost</t>
        </is>
      </c>
      <c r="I5" s="20" t="n">
        <v>3544788.07</v>
      </c>
      <c r="J5" s="20" t="n">
        <v>2791227.94</v>
      </c>
      <c r="K5" s="21" t="n">
        <v>0.787417</v>
      </c>
      <c r="L5" s="20" t="n">
        <v>3812062.86</v>
      </c>
      <c r="M5" s="20" t="n">
        <v>3001684.77</v>
      </c>
      <c r="N5" s="21" t="n">
        <v>0.787417</v>
      </c>
      <c r="O5" s="20" t="n">
        <v>4126436.47</v>
      </c>
      <c r="P5" s="20" t="n">
        <v>3249228.03</v>
      </c>
      <c r="Q5" s="21" t="n">
        <v>0.787417</v>
      </c>
      <c r="R5" s="20" t="n">
        <v>3946739.81</v>
      </c>
      <c r="S5" s="20" t="n">
        <v>3107731.75</v>
      </c>
      <c r="T5" s="21" t="n">
        <v>0.787417</v>
      </c>
      <c r="U5" s="20" t="n">
        <v>4036748.59</v>
      </c>
      <c r="V5" s="20" t="n">
        <v>3178606.24</v>
      </c>
      <c r="W5" s="21" t="n">
        <v>0.787417</v>
      </c>
      <c r="X5" s="22" t="n">
        <v>19466775.8</v>
      </c>
      <c r="Y5" s="22" t="n">
        <v>15328478.73</v>
      </c>
      <c r="Z5" s="23" t="n">
        <v>0.787417</v>
      </c>
      <c r="AA5" s="23" t="n">
        <v>0.042358</v>
      </c>
    </row>
    <row r="6" ht="40" customHeight="1">
      <c r="A6" s="18" t="n">
        <v>2</v>
      </c>
      <c r="B6" s="18" t="inlineStr">
        <is>
          <t>Vietnam</t>
        </is>
      </c>
      <c r="C6" s="18" t="inlineStr">
        <is>
          <t>VND</t>
        </is>
      </c>
      <c r="D6" s="18" t="inlineStr">
        <is>
          <t>BUI Thanh</t>
        </is>
      </c>
      <c r="E6" s="19" t="inlineStr">
        <is>
          <t>IBM</t>
        </is>
      </c>
      <c r="F6" s="18" t="inlineStr">
        <is>
          <t>PR75121 - Application Support - BUI Thanh - 2026</t>
        </is>
      </c>
      <c r="G6" s="19" t="inlineStr">
        <is>
          <t>SYSTEMATIC_HIGH</t>
        </is>
      </c>
      <c r="H6" s="19" t="inlineStr">
        <is>
          <t>All 5 months &gt;70% -&gt; likely missing cost</t>
        </is>
      </c>
      <c r="I6" s="20" t="n">
        <v>3835298.54</v>
      </c>
      <c r="J6" s="20" t="n">
        <v>3226533.41</v>
      </c>
      <c r="K6" s="21" t="n">
        <v>0.841273</v>
      </c>
      <c r="L6" s="20" t="n">
        <v>3856302.99</v>
      </c>
      <c r="M6" s="20" t="n">
        <v>3244203.89</v>
      </c>
      <c r="N6" s="21" t="n">
        <v>0.841273</v>
      </c>
      <c r="O6" s="20" t="n">
        <v>4283052.74</v>
      </c>
      <c r="P6" s="20" t="n">
        <v>3603216.96</v>
      </c>
      <c r="Q6" s="21" t="n">
        <v>0.841273</v>
      </c>
      <c r="R6" s="20" t="n">
        <v>3911999.53</v>
      </c>
      <c r="S6" s="20" t="n">
        <v>3291059.88</v>
      </c>
      <c r="T6" s="21" t="n">
        <v>0.841273</v>
      </c>
      <c r="U6" s="20" t="n">
        <v>4008952.59</v>
      </c>
      <c r="V6" s="20" t="n">
        <v>3372623.88</v>
      </c>
      <c r="W6" s="21" t="n">
        <v>0.841273</v>
      </c>
      <c r="X6" s="22" t="n">
        <v>19895606.39</v>
      </c>
      <c r="Y6" s="22" t="n">
        <v>16737638.02</v>
      </c>
      <c r="Z6" s="23" t="n">
        <v>0.841273</v>
      </c>
      <c r="AA6" s="23" t="n">
        <v>0.046252</v>
      </c>
    </row>
    <row r="7" ht="40" customHeight="1">
      <c r="A7" s="18" t="n">
        <v>3</v>
      </c>
      <c r="B7" s="18" t="inlineStr">
        <is>
          <t>Canada</t>
        </is>
      </c>
      <c r="C7" s="18" t="inlineStr">
        <is>
          <t>CAD</t>
        </is>
      </c>
      <c r="D7" s="18" t="inlineStr">
        <is>
          <t>CARON Florence</t>
        </is>
      </c>
      <c r="E7" s="19" t="inlineStr">
        <is>
          <t>Kion Group AG</t>
        </is>
      </c>
      <c r="F7" s="18" t="inlineStr">
        <is>
          <t>PR61691 - Automation Engineering - CARON Florence - 2026</t>
        </is>
      </c>
      <c r="G7" s="19" t="inlineStr">
        <is>
          <t>SYSTEMATIC_HIGH</t>
        </is>
      </c>
      <c r="H7" s="19" t="inlineStr">
        <is>
          <t>All 5 months &gt;70% -&gt; likely missing cost</t>
        </is>
      </c>
      <c r="I7" s="20" t="n">
        <v>106.62</v>
      </c>
      <c r="J7" s="20" t="n">
        <v>80.02</v>
      </c>
      <c r="K7" s="21" t="n">
        <v>0.750516</v>
      </c>
      <c r="L7" s="20" t="n">
        <v>117.32</v>
      </c>
      <c r="M7" s="20" t="n">
        <v>88.05</v>
      </c>
      <c r="N7" s="21" t="n">
        <v>0.750511</v>
      </c>
      <c r="O7" s="20" t="n">
        <v>115.93</v>
      </c>
      <c r="P7" s="20" t="n">
        <v>87.01000000000001</v>
      </c>
      <c r="Q7" s="21" t="n">
        <v>0.750539</v>
      </c>
      <c r="R7" s="20" t="n">
        <v>109.58</v>
      </c>
      <c r="S7" s="20" t="n">
        <v>82.23999999999999</v>
      </c>
      <c r="T7" s="21" t="n">
        <v>0.750502</v>
      </c>
      <c r="U7" s="20" t="n">
        <v>124.41</v>
      </c>
      <c r="V7" s="20" t="n">
        <v>93.37</v>
      </c>
      <c r="W7" s="21" t="n">
        <v>0.750502</v>
      </c>
      <c r="X7" s="22" t="n">
        <v>573.86</v>
      </c>
      <c r="Y7" s="22" t="n">
        <v>430.69</v>
      </c>
      <c r="Z7" s="23" t="n">
        <v>0.750514</v>
      </c>
      <c r="AA7" s="23" t="n">
        <v>0.021152</v>
      </c>
    </row>
    <row r="8" ht="40" customHeight="1">
      <c r="A8" s="18" t="n">
        <v>4</v>
      </c>
      <c r="B8" s="18" t="inlineStr">
        <is>
          <t>Spain</t>
        </is>
      </c>
      <c r="C8" s="18" t="inlineStr">
        <is>
          <t>EUR</t>
        </is>
      </c>
      <c r="D8" s="18" t="inlineStr">
        <is>
          <t>CASTRO Alba</t>
        </is>
      </c>
      <c r="E8" s="19" t="inlineStr">
        <is>
          <t>GSK plc</t>
        </is>
      </c>
      <c r="F8" s="18" t="inlineStr">
        <is>
          <t>PR76668 - Automation Engineering - CASTRO Alba - 2026</t>
        </is>
      </c>
      <c r="G8" s="19" t="inlineStr">
        <is>
          <t>SYSTEMATIC_HIGH</t>
        </is>
      </c>
      <c r="H8" s="19" t="inlineStr">
        <is>
          <t>All 5 months &gt;70% -&gt; likely missing cost</t>
        </is>
      </c>
      <c r="I8" s="20" t="n">
        <v>264.44</v>
      </c>
      <c r="J8" s="20" t="n">
        <v>225.93</v>
      </c>
      <c r="K8" s="21" t="n">
        <v>0.854366</v>
      </c>
      <c r="L8" s="20" t="n">
        <v>288.48</v>
      </c>
      <c r="M8" s="20" t="n">
        <v>246.47</v>
      </c>
      <c r="N8" s="21" t="n">
        <v>0.854364</v>
      </c>
      <c r="O8" s="20" t="n">
        <v>285.89</v>
      </c>
      <c r="P8" s="20" t="n">
        <v>244.25</v>
      </c>
      <c r="Q8" s="21" t="n">
        <v>0.854367</v>
      </c>
      <c r="R8" s="20" t="n">
        <v>276.36</v>
      </c>
      <c r="S8" s="20" t="n">
        <v>236.12</v>
      </c>
      <c r="T8" s="21" t="n">
        <v>0.854379</v>
      </c>
      <c r="U8" s="20" t="n">
        <v>305.26</v>
      </c>
      <c r="V8" s="20" t="n">
        <v>260.81</v>
      </c>
      <c r="W8" s="21" t="n">
        <v>0.85437</v>
      </c>
      <c r="X8" s="22" t="n">
        <v>1420.43</v>
      </c>
      <c r="Y8" s="22" t="n">
        <v>1213.58</v>
      </c>
      <c r="Z8" s="23" t="n">
        <v>0.854375</v>
      </c>
      <c r="AA8" s="24" t="n">
        <v>0.20683</v>
      </c>
    </row>
    <row r="9" ht="40" customHeight="1">
      <c r="A9" s="18" t="n">
        <v>5</v>
      </c>
      <c r="B9" s="18" t="inlineStr">
        <is>
          <t>Spain</t>
        </is>
      </c>
      <c r="C9" s="18" t="inlineStr">
        <is>
          <t>EUR</t>
        </is>
      </c>
      <c r="D9" s="18" t="inlineStr">
        <is>
          <t>CASTRO Alba</t>
        </is>
      </c>
      <c r="E9" s="19" t="inlineStr">
        <is>
          <t>PepsiCo, Inc.</t>
        </is>
      </c>
      <c r="F9" s="18" t="inlineStr">
        <is>
          <t>PR76664 - DevOps Engineering - CASTRO Alba - 2026</t>
        </is>
      </c>
      <c r="G9" s="19" t="inlineStr">
        <is>
          <t>SYSTEMATIC_HIGH</t>
        </is>
      </c>
      <c r="H9" s="19" t="inlineStr">
        <is>
          <t>All 5 months &gt;70% -&gt; likely missing cost</t>
        </is>
      </c>
      <c r="I9" s="20" t="n">
        <v>124.48</v>
      </c>
      <c r="J9" s="20" t="n">
        <v>92.56</v>
      </c>
      <c r="K9" s="21" t="n">
        <v>0.743613</v>
      </c>
      <c r="L9" s="20" t="n">
        <v>128.63</v>
      </c>
      <c r="M9" s="20" t="n">
        <v>95.66</v>
      </c>
      <c r="N9" s="21" t="n">
        <v>0.743654</v>
      </c>
      <c r="O9" s="20" t="n">
        <v>137.26</v>
      </c>
      <c r="P9" s="20" t="n">
        <v>102.07</v>
      </c>
      <c r="Q9" s="21" t="n">
        <v>0.743622</v>
      </c>
      <c r="R9" s="20" t="n">
        <v>129.97</v>
      </c>
      <c r="S9" s="20" t="n">
        <v>96.65000000000001</v>
      </c>
      <c r="T9" s="21" t="n">
        <v>0.743664</v>
      </c>
      <c r="U9" s="20" t="n">
        <v>143.29</v>
      </c>
      <c r="V9" s="20" t="n">
        <v>106.55</v>
      </c>
      <c r="W9" s="21" t="n">
        <v>0.743642</v>
      </c>
      <c r="X9" s="22" t="n">
        <v>663.63</v>
      </c>
      <c r="Y9" s="22" t="n">
        <v>493.49</v>
      </c>
      <c r="Z9" s="23" t="n">
        <v>0.743622</v>
      </c>
      <c r="AA9" s="23" t="n">
        <v>0.084106</v>
      </c>
    </row>
    <row r="10" ht="40" customHeight="1">
      <c r="A10" s="18" t="n">
        <v>6</v>
      </c>
      <c r="B10" s="18" t="inlineStr">
        <is>
          <t>Thailand</t>
        </is>
      </c>
      <c r="C10" s="18" t="inlineStr">
        <is>
          <t>THB</t>
        </is>
      </c>
      <c r="D10" s="18" t="inlineStr">
        <is>
          <t>CHAIYASIT Nicha</t>
        </is>
      </c>
      <c r="E10" s="19" t="inlineStr">
        <is>
          <t>Booking Holdings Inc.</t>
        </is>
      </c>
      <c r="F10" s="18" t="inlineStr">
        <is>
          <t>PR52705 - Automation Engineering - CHAIYASIT Nicha - 2026</t>
        </is>
      </c>
      <c r="G10" s="19" t="inlineStr">
        <is>
          <t>SYSTEMATIC_HIGH</t>
        </is>
      </c>
      <c r="H10" s="19" t="inlineStr">
        <is>
          <t>All 5 months &gt;70% -&gt; likely missing cost</t>
        </is>
      </c>
      <c r="I10" s="20" t="n">
        <v>4174.37</v>
      </c>
      <c r="J10" s="20" t="n">
        <v>3250.38</v>
      </c>
      <c r="K10" s="21" t="n">
        <v>0.778652</v>
      </c>
      <c r="L10" s="20" t="n">
        <v>4323.64</v>
      </c>
      <c r="M10" s="20" t="n">
        <v>3366.61</v>
      </c>
      <c r="N10" s="21" t="n">
        <v>0.778652</v>
      </c>
      <c r="O10" s="20" t="n">
        <v>4280.73</v>
      </c>
      <c r="P10" s="20" t="n">
        <v>3333.2</v>
      </c>
      <c r="Q10" s="21" t="n">
        <v>0.778652</v>
      </c>
      <c r="R10" s="20" t="n">
        <v>4101.26</v>
      </c>
      <c r="S10" s="20" t="n">
        <v>3193.45</v>
      </c>
      <c r="T10" s="21" t="n">
        <v>0.778651</v>
      </c>
      <c r="U10" s="20" t="n">
        <v>4600.1</v>
      </c>
      <c r="V10" s="20" t="n">
        <v>3581.88</v>
      </c>
      <c r="W10" s="21" t="n">
        <v>0.778653</v>
      </c>
      <c r="X10" s="22" t="n">
        <v>21480.1</v>
      </c>
      <c r="Y10" s="22" t="n">
        <v>16725.52</v>
      </c>
      <c r="Z10" s="23" t="n">
        <v>0.778652</v>
      </c>
      <c r="AA10" s="23" t="n">
        <v>0.032762</v>
      </c>
    </row>
    <row r="11" ht="40" customHeight="1">
      <c r="A11" s="18" t="n">
        <v>7</v>
      </c>
      <c r="B11" s="18" t="inlineStr">
        <is>
          <t>Spain</t>
        </is>
      </c>
      <c r="C11" s="18" t="inlineStr">
        <is>
          <t>EUR</t>
        </is>
      </c>
      <c r="D11" s="18" t="inlineStr">
        <is>
          <t>CRUZ Sergio</t>
        </is>
      </c>
      <c r="E11" s="19" t="inlineStr">
        <is>
          <t>Ericsson</t>
        </is>
      </c>
      <c r="F11" s="18" t="inlineStr">
        <is>
          <t>PR76746 - Digital Transformation - CRUZ Sergio - 2026</t>
        </is>
      </c>
      <c r="G11" s="19" t="inlineStr">
        <is>
          <t>SYSTEMATIC_HIGH</t>
        </is>
      </c>
      <c r="H11" s="19" t="inlineStr">
        <is>
          <t>All 5 months &gt;70% -&gt; likely missing cost</t>
        </is>
      </c>
      <c r="I11" s="20" t="n">
        <v>293.81</v>
      </c>
      <c r="J11" s="20" t="n">
        <v>224.03</v>
      </c>
      <c r="K11" s="21" t="n">
        <v>0.762487</v>
      </c>
      <c r="L11" s="20" t="n">
        <v>290.13</v>
      </c>
      <c r="M11" s="20" t="n">
        <v>221.23</v>
      </c>
      <c r="N11" s="21" t="n">
        <v>0.762509</v>
      </c>
      <c r="O11" s="20" t="n">
        <v>299.58</v>
      </c>
      <c r="P11" s="20" t="n">
        <v>228.43</v>
      </c>
      <c r="Q11" s="21" t="n">
        <v>0.7625</v>
      </c>
      <c r="R11" s="20" t="n">
        <v>308.49</v>
      </c>
      <c r="S11" s="20" t="n">
        <v>235.22</v>
      </c>
      <c r="T11" s="21" t="n">
        <v>0.7624880000000001</v>
      </c>
      <c r="U11" s="20" t="n">
        <v>312.98</v>
      </c>
      <c r="V11" s="20" t="n">
        <v>238.64</v>
      </c>
      <c r="W11" s="21" t="n">
        <v>0.762477</v>
      </c>
      <c r="X11" s="22" t="n">
        <v>1504.99</v>
      </c>
      <c r="Y11" s="22" t="n">
        <v>1147.55</v>
      </c>
      <c r="Z11" s="23" t="n">
        <v>0.762497</v>
      </c>
      <c r="AA11" s="23" t="n">
        <v>0.096931</v>
      </c>
    </row>
    <row r="12" ht="40" customHeight="1">
      <c r="A12" s="18" t="n">
        <v>8</v>
      </c>
      <c r="B12" s="18" t="inlineStr">
        <is>
          <t>Spain</t>
        </is>
      </c>
      <c r="C12" s="18" t="inlineStr">
        <is>
          <t>EUR</t>
        </is>
      </c>
      <c r="D12" s="18" t="inlineStr">
        <is>
          <t>CRUZ Sergio</t>
        </is>
      </c>
      <c r="E12" s="19" t="inlineStr">
        <is>
          <t>Ericsson</t>
        </is>
      </c>
      <c r="F12" s="18" t="inlineStr">
        <is>
          <t>PR76748 - ERP Integration - CRUZ Sergio - 2026</t>
        </is>
      </c>
      <c r="G12" s="19" t="inlineStr">
        <is>
          <t>SYSTEMATIC_HIGH</t>
        </is>
      </c>
      <c r="H12" s="19" t="inlineStr">
        <is>
          <t>All 5 months &gt;70% -&gt; likely missing cost</t>
        </is>
      </c>
      <c r="I12" s="20" t="n">
        <v>238.9</v>
      </c>
      <c r="J12" s="20" t="n">
        <v>189.05</v>
      </c>
      <c r="K12" s="21" t="n">
        <v>0.791335</v>
      </c>
      <c r="L12" s="20" t="n">
        <v>246.37</v>
      </c>
      <c r="M12" s="20" t="n">
        <v>194.96</v>
      </c>
      <c r="N12" s="21" t="n">
        <v>0.791351</v>
      </c>
      <c r="O12" s="20" t="n">
        <v>269.82</v>
      </c>
      <c r="P12" s="20" t="n">
        <v>213.52</v>
      </c>
      <c r="Q12" s="21" t="n">
        <v>0.791355</v>
      </c>
      <c r="R12" s="20" t="n">
        <v>255.93</v>
      </c>
      <c r="S12" s="20" t="n">
        <v>202.53</v>
      </c>
      <c r="T12" s="21" t="n">
        <v>0.791354</v>
      </c>
      <c r="U12" s="20" t="n">
        <v>273.73</v>
      </c>
      <c r="V12" s="20" t="n">
        <v>216.62</v>
      </c>
      <c r="W12" s="21" t="n">
        <v>0.791349</v>
      </c>
      <c r="X12" s="22" t="n">
        <v>1284.75</v>
      </c>
      <c r="Y12" s="22" t="n">
        <v>1016.68</v>
      </c>
      <c r="Z12" s="23" t="n">
        <v>0.791345</v>
      </c>
      <c r="AA12" s="23" t="n">
        <v>0.085877</v>
      </c>
    </row>
    <row r="13" ht="40" customHeight="1">
      <c r="A13" s="18" t="n">
        <v>9</v>
      </c>
      <c r="B13" s="18" t="inlineStr">
        <is>
          <t>Vietnam</t>
        </is>
      </c>
      <c r="C13" s="18" t="inlineStr">
        <is>
          <t>VND</t>
        </is>
      </c>
      <c r="D13" s="18" t="inlineStr">
        <is>
          <t>DANG Khoa</t>
        </is>
      </c>
      <c r="E13" s="19" t="inlineStr">
        <is>
          <t>Roche Holding AG</t>
        </is>
      </c>
      <c r="F13" s="18" t="inlineStr">
        <is>
          <t>PR75348 - Mobile Application Development - DANG Khoa - 2026</t>
        </is>
      </c>
      <c r="G13" s="19" t="inlineStr">
        <is>
          <t>SYSTEMATIC_HIGH</t>
        </is>
      </c>
      <c r="H13" s="19" t="inlineStr">
        <is>
          <t>All 5 months &gt;70% -&gt; likely missing cost</t>
        </is>
      </c>
      <c r="I13" s="20" t="n">
        <v>2933138.95</v>
      </c>
      <c r="J13" s="20" t="n">
        <v>2309604.76</v>
      </c>
      <c r="K13" s="21" t="n">
        <v>0.787417</v>
      </c>
      <c r="L13" s="20" t="n">
        <v>3154295.78</v>
      </c>
      <c r="M13" s="20" t="n">
        <v>2483747.5</v>
      </c>
      <c r="N13" s="21" t="n">
        <v>0.787417</v>
      </c>
      <c r="O13" s="20" t="n">
        <v>3414424.58</v>
      </c>
      <c r="P13" s="20" t="n">
        <v>2688577.46</v>
      </c>
      <c r="Q13" s="21" t="n">
        <v>0.787417</v>
      </c>
      <c r="R13" s="20" t="n">
        <v>3265734.38</v>
      </c>
      <c r="S13" s="20" t="n">
        <v>2571496.2</v>
      </c>
      <c r="T13" s="21" t="n">
        <v>0.787417</v>
      </c>
      <c r="U13" s="20" t="n">
        <v>3340212.24</v>
      </c>
      <c r="V13" s="20" t="n">
        <v>2630141.37</v>
      </c>
      <c r="W13" s="21" t="n">
        <v>0.787417</v>
      </c>
      <c r="X13" s="22" t="n">
        <v>16107805.93</v>
      </c>
      <c r="Y13" s="22" t="n">
        <v>12683567.29</v>
      </c>
      <c r="Z13" s="23" t="n">
        <v>0.787417</v>
      </c>
      <c r="AA13" s="23" t="n">
        <v>0.042358</v>
      </c>
    </row>
    <row r="14" ht="40" customHeight="1">
      <c r="A14" s="18" t="n">
        <v>10</v>
      </c>
      <c r="B14" s="18" t="inlineStr">
        <is>
          <t>Vietnam</t>
        </is>
      </c>
      <c r="C14" s="18" t="inlineStr">
        <is>
          <t>VND</t>
        </is>
      </c>
      <c r="D14" s="18" t="inlineStr">
        <is>
          <t>DANG Khoa</t>
        </is>
      </c>
      <c r="E14" s="19" t="inlineStr">
        <is>
          <t>Roche Holding AG</t>
        </is>
      </c>
      <c r="F14" s="18" t="inlineStr">
        <is>
          <t>PR75350 - Application Support - DANG Khoa - 2026</t>
        </is>
      </c>
      <c r="G14" s="19" t="inlineStr">
        <is>
          <t>SYSTEMATIC_HIGH</t>
        </is>
      </c>
      <c r="H14" s="19" t="inlineStr">
        <is>
          <t>All 5 months &gt;70% -&gt; likely missing cost</t>
        </is>
      </c>
      <c r="I14" s="20" t="n">
        <v>3173522.17</v>
      </c>
      <c r="J14" s="20" t="n">
        <v>2669798.76</v>
      </c>
      <c r="K14" s="21" t="n">
        <v>0.841273</v>
      </c>
      <c r="L14" s="20" t="n">
        <v>3190902.32</v>
      </c>
      <c r="M14" s="20" t="n">
        <v>2684420.22</v>
      </c>
      <c r="N14" s="21" t="n">
        <v>0.841273</v>
      </c>
      <c r="O14" s="20" t="n">
        <v>3544016.9</v>
      </c>
      <c r="P14" s="20" t="n">
        <v>2981486</v>
      </c>
      <c r="Q14" s="21" t="n">
        <v>0.841273</v>
      </c>
      <c r="R14" s="20" t="n">
        <v>3236988.49</v>
      </c>
      <c r="S14" s="20" t="n">
        <v>2723191.27</v>
      </c>
      <c r="T14" s="21" t="n">
        <v>0.841273</v>
      </c>
      <c r="U14" s="20" t="n">
        <v>3317212.41</v>
      </c>
      <c r="V14" s="20" t="n">
        <v>2790681.49</v>
      </c>
      <c r="W14" s="21" t="n">
        <v>0.841273</v>
      </c>
      <c r="X14" s="22" t="n">
        <v>16462642.29</v>
      </c>
      <c r="Y14" s="22" t="n">
        <v>13849577.74</v>
      </c>
      <c r="Z14" s="23" t="n">
        <v>0.841273</v>
      </c>
      <c r="AA14" s="23" t="n">
        <v>0.046252</v>
      </c>
    </row>
    <row r="15" ht="40" customHeight="1">
      <c r="A15" s="18" t="n">
        <v>11</v>
      </c>
      <c r="B15" s="18" t="inlineStr">
        <is>
          <t>Spain</t>
        </is>
      </c>
      <c r="C15" s="18" t="inlineStr">
        <is>
          <t>EUR</t>
        </is>
      </c>
      <c r="D15" s="18" t="inlineStr">
        <is>
          <t>DIAZ Marta</t>
        </is>
      </c>
      <c r="E15" s="19" t="inlineStr">
        <is>
          <t>Honda Motor Co., Ltd.</t>
        </is>
      </c>
      <c r="F15" s="18" t="inlineStr">
        <is>
          <t>PR71260 - Automation Engineering - DIAZ Marta - 2026</t>
        </is>
      </c>
      <c r="G15" s="19" t="inlineStr">
        <is>
          <t>SYSTEMATIC_HIGH</t>
        </is>
      </c>
      <c r="H15" s="19" t="inlineStr">
        <is>
          <t>All 5 months &gt;70% -&gt; likely missing cost</t>
        </is>
      </c>
      <c r="I15" s="20" t="n">
        <v>248.6</v>
      </c>
      <c r="J15" s="20" t="n">
        <v>191.1</v>
      </c>
      <c r="K15" s="21" t="n">
        <v>0.768705</v>
      </c>
      <c r="L15" s="20" t="n">
        <v>267.72</v>
      </c>
      <c r="M15" s="20" t="n">
        <v>205.8</v>
      </c>
      <c r="N15" s="21" t="n">
        <v>0.768714</v>
      </c>
      <c r="O15" s="20" t="n">
        <v>272.83</v>
      </c>
      <c r="P15" s="20" t="n">
        <v>209.73</v>
      </c>
      <c r="Q15" s="21" t="n">
        <v>0.76872</v>
      </c>
      <c r="R15" s="20" t="n">
        <v>252.96</v>
      </c>
      <c r="S15" s="20" t="n">
        <v>194.45</v>
      </c>
      <c r="T15" s="21" t="n">
        <v>0.768699</v>
      </c>
      <c r="U15" s="20" t="n">
        <v>282.09</v>
      </c>
      <c r="V15" s="20" t="n">
        <v>216.84</v>
      </c>
      <c r="W15" s="21" t="n">
        <v>0.768691</v>
      </c>
      <c r="X15" s="22" t="n">
        <v>1324.2</v>
      </c>
      <c r="Y15" s="22" t="n">
        <v>1017.92</v>
      </c>
      <c r="Z15" s="23" t="n">
        <v>0.768706</v>
      </c>
      <c r="AA15" s="23" t="n">
        <v>0.055107</v>
      </c>
    </row>
    <row r="16" ht="40" customHeight="1">
      <c r="A16" s="18" t="n">
        <v>12</v>
      </c>
      <c r="B16" s="18" t="inlineStr">
        <is>
          <t>Spain</t>
        </is>
      </c>
      <c r="C16" s="18" t="inlineStr">
        <is>
          <t>EUR</t>
        </is>
      </c>
      <c r="D16" s="18" t="inlineStr">
        <is>
          <t>DIAZ Marta</t>
        </is>
      </c>
      <c r="E16" s="19" t="inlineStr">
        <is>
          <t>Nestlé S.A.</t>
        </is>
      </c>
      <c r="F16" s="18" t="inlineStr">
        <is>
          <t>PR71263 - ERP Integration - DIAZ Marta - 2026</t>
        </is>
      </c>
      <c r="G16" s="19" t="inlineStr">
        <is>
          <t>SYSTEMATIC_HIGH</t>
        </is>
      </c>
      <c r="H16" s="19" t="inlineStr">
        <is>
          <t>All 5 months &gt;70% -&gt; likely missing cost</t>
        </is>
      </c>
      <c r="I16" s="20" t="n">
        <v>225.4</v>
      </c>
      <c r="J16" s="20" t="n">
        <v>193.73</v>
      </c>
      <c r="K16" s="21" t="n">
        <v>0.859494</v>
      </c>
      <c r="L16" s="20" t="n">
        <v>237.24</v>
      </c>
      <c r="M16" s="20" t="n">
        <v>203.9</v>
      </c>
      <c r="N16" s="21" t="n">
        <v>0.859467</v>
      </c>
      <c r="O16" s="20" t="n">
        <v>265.69</v>
      </c>
      <c r="P16" s="20" t="n">
        <v>228.35</v>
      </c>
      <c r="Q16" s="21" t="n">
        <v>0.85946</v>
      </c>
      <c r="R16" s="20" t="n">
        <v>250.79</v>
      </c>
      <c r="S16" s="20" t="n">
        <v>215.55</v>
      </c>
      <c r="T16" s="21" t="n">
        <v>0.859484</v>
      </c>
      <c r="U16" s="20" t="n">
        <v>259.23</v>
      </c>
      <c r="V16" s="20" t="n">
        <v>222.8</v>
      </c>
      <c r="W16" s="21" t="n">
        <v>0.859468</v>
      </c>
      <c r="X16" s="22" t="n">
        <v>1238.35</v>
      </c>
      <c r="Y16" s="22" t="n">
        <v>1064.33</v>
      </c>
      <c r="Z16" s="23" t="n">
        <v>0.859474</v>
      </c>
      <c r="AA16" s="23" t="n">
        <v>0.05762</v>
      </c>
    </row>
    <row r="17" ht="40" customHeight="1">
      <c r="A17" s="18" t="n">
        <v>13</v>
      </c>
      <c r="B17" s="18" t="inlineStr">
        <is>
          <t>Vietnam</t>
        </is>
      </c>
      <c r="C17" s="18" t="inlineStr">
        <is>
          <t>VND</t>
        </is>
      </c>
      <c r="D17" s="18" t="inlineStr">
        <is>
          <t>DINH Son</t>
        </is>
      </c>
      <c r="E17" s="19" t="inlineStr">
        <is>
          <t>Toyota Motor Corporation</t>
        </is>
      </c>
      <c r="F17" s="18" t="inlineStr">
        <is>
          <t>PR75806 - Mobile Application Development - DINH Son - 2026</t>
        </is>
      </c>
      <c r="G17" s="19" t="inlineStr">
        <is>
          <t>SYSTEMATIC_HIGH</t>
        </is>
      </c>
      <c r="H17" s="19" t="inlineStr">
        <is>
          <t>All 5 months &gt;70% -&gt; likely missing cost</t>
        </is>
      </c>
      <c r="I17" s="20" t="n">
        <v>2859960.93</v>
      </c>
      <c r="J17" s="20" t="n">
        <v>2251983.11</v>
      </c>
      <c r="K17" s="21" t="n">
        <v>0.787417</v>
      </c>
      <c r="L17" s="20" t="n">
        <v>3075600.18</v>
      </c>
      <c r="M17" s="20" t="n">
        <v>2421781.21</v>
      </c>
      <c r="N17" s="21" t="n">
        <v>0.787417</v>
      </c>
      <c r="O17" s="20" t="n">
        <v>3329239.1</v>
      </c>
      <c r="P17" s="20" t="n">
        <v>2621500.93</v>
      </c>
      <c r="Q17" s="21" t="n">
        <v>0.787417</v>
      </c>
      <c r="R17" s="20" t="n">
        <v>3184258.53</v>
      </c>
      <c r="S17" s="20" t="n">
        <v>2507340.7</v>
      </c>
      <c r="T17" s="21" t="n">
        <v>0.787417</v>
      </c>
      <c r="U17" s="20" t="n">
        <v>3256878.27</v>
      </c>
      <c r="V17" s="20" t="n">
        <v>2564522.75</v>
      </c>
      <c r="W17" s="21" t="n">
        <v>0.787417</v>
      </c>
      <c r="X17" s="22" t="n">
        <v>15705937.01</v>
      </c>
      <c r="Y17" s="22" t="n">
        <v>12367128.7</v>
      </c>
      <c r="Z17" s="23" t="n">
        <v>0.787417</v>
      </c>
      <c r="AA17" s="23" t="n">
        <v>0.042358</v>
      </c>
    </row>
    <row r="18" ht="40" customHeight="1">
      <c r="A18" s="18" t="n">
        <v>14</v>
      </c>
      <c r="B18" s="18" t="inlineStr">
        <is>
          <t>Vietnam</t>
        </is>
      </c>
      <c r="C18" s="18" t="inlineStr">
        <is>
          <t>VND</t>
        </is>
      </c>
      <c r="D18" s="18" t="inlineStr">
        <is>
          <t>DINH Son</t>
        </is>
      </c>
      <c r="E18" s="19" t="inlineStr">
        <is>
          <t>Toyota Motor Corporation</t>
        </is>
      </c>
      <c r="F18" s="18" t="inlineStr">
        <is>
          <t>PR75808 - Application Support - DINH Son - 2026</t>
        </is>
      </c>
      <c r="G18" s="19" t="inlineStr">
        <is>
          <t>SYSTEMATIC_HIGH</t>
        </is>
      </c>
      <c r="H18" s="19" t="inlineStr">
        <is>
          <t>All 5 months &gt;70% -&gt; likely missing cost</t>
        </is>
      </c>
      <c r="I18" s="20" t="n">
        <v>3094346.9</v>
      </c>
      <c r="J18" s="20" t="n">
        <v>2603190.74</v>
      </c>
      <c r="K18" s="21" t="n">
        <v>0.841273</v>
      </c>
      <c r="L18" s="20" t="n">
        <v>3111293.44</v>
      </c>
      <c r="M18" s="20" t="n">
        <v>2617447.41</v>
      </c>
      <c r="N18" s="21" t="n">
        <v>0.841273</v>
      </c>
      <c r="O18" s="20" t="n">
        <v>3455598.26</v>
      </c>
      <c r="P18" s="20" t="n">
        <v>2907101.78</v>
      </c>
      <c r="Q18" s="21" t="n">
        <v>0.841273</v>
      </c>
      <c r="R18" s="20" t="n">
        <v>3156229.82</v>
      </c>
      <c r="S18" s="20" t="n">
        <v>2655251.17</v>
      </c>
      <c r="T18" s="21" t="n">
        <v>0.841273</v>
      </c>
      <c r="U18" s="20" t="n">
        <v>3234452.25</v>
      </c>
      <c r="V18" s="20" t="n">
        <v>2721057.6</v>
      </c>
      <c r="W18" s="21" t="n">
        <v>0.841273</v>
      </c>
      <c r="X18" s="22" t="n">
        <v>16051920.67</v>
      </c>
      <c r="Y18" s="22" t="n">
        <v>13504048.7</v>
      </c>
      <c r="Z18" s="23" t="n">
        <v>0.841273</v>
      </c>
      <c r="AA18" s="23" t="n">
        <v>0.046252</v>
      </c>
    </row>
    <row r="19" ht="40" customHeight="1">
      <c r="A19" s="18" t="n">
        <v>15</v>
      </c>
      <c r="B19" s="18" t="inlineStr">
        <is>
          <t>Italy</t>
        </is>
      </c>
      <c r="C19" s="18" t="inlineStr">
        <is>
          <t>EUR</t>
        </is>
      </c>
      <c r="D19" s="18" t="inlineStr">
        <is>
          <t>FERRARI Giulia</t>
        </is>
      </c>
      <c r="E19" s="19" t="inlineStr">
        <is>
          <t>Uber Technologies, Inc.</t>
        </is>
      </c>
      <c r="F19" s="18" t="inlineStr">
        <is>
          <t>PR53705 - Cloud Data Engineering - FERRARI Giulia - 2026</t>
        </is>
      </c>
      <c r="G19" s="19" t="inlineStr">
        <is>
          <t>SYSTEMATIC_HIGH</t>
        </is>
      </c>
      <c r="H19" s="19" t="inlineStr">
        <is>
          <t>All 5 months &gt;70% -&gt; likely missing cost</t>
        </is>
      </c>
      <c r="I19" s="20" t="n">
        <v>757.96</v>
      </c>
      <c r="J19" s="20" t="n">
        <v>578.17</v>
      </c>
      <c r="K19" s="21" t="n">
        <v>0.762798</v>
      </c>
      <c r="L19" s="20" t="n">
        <v>780.8099999999999</v>
      </c>
      <c r="M19" s="20" t="n">
        <v>595.6</v>
      </c>
      <c r="N19" s="21" t="n">
        <v>0.762798</v>
      </c>
      <c r="O19" s="20" t="n">
        <v>773.12</v>
      </c>
      <c r="P19" s="20" t="n">
        <v>589.73</v>
      </c>
      <c r="Q19" s="21" t="n">
        <v>0.762792</v>
      </c>
      <c r="R19" s="20" t="n">
        <v>743.1900000000001</v>
      </c>
      <c r="S19" s="20" t="n">
        <v>566.9</v>
      </c>
      <c r="T19" s="21" t="n">
        <v>0.7627930000000001</v>
      </c>
      <c r="U19" s="20" t="n">
        <v>812.83</v>
      </c>
      <c r="V19" s="20" t="n">
        <v>620.02</v>
      </c>
      <c r="W19" s="21" t="n">
        <v>0.762792</v>
      </c>
      <c r="X19" s="22" t="n">
        <v>3867.91</v>
      </c>
      <c r="Y19" s="22" t="n">
        <v>2950.42</v>
      </c>
      <c r="Z19" s="23" t="n">
        <v>0.762794</v>
      </c>
      <c r="AA19" s="24" t="n">
        <v>0.182009</v>
      </c>
    </row>
    <row r="20" ht="40" customHeight="1">
      <c r="A20" s="18" t="n">
        <v>16</v>
      </c>
      <c r="B20" s="18" t="inlineStr">
        <is>
          <t>Canada</t>
        </is>
      </c>
      <c r="C20" s="18" t="inlineStr">
        <is>
          <t>CAD</t>
        </is>
      </c>
      <c r="D20" s="18" t="inlineStr">
        <is>
          <t>GAGNON Camille</t>
        </is>
      </c>
      <c r="E20" s="19" t="inlineStr">
        <is>
          <t>PwC</t>
        </is>
      </c>
      <c r="F20" s="18" t="inlineStr">
        <is>
          <t>PR60203 - Automation Engineering - GAGNON Camille - 2026</t>
        </is>
      </c>
      <c r="G20" s="19" t="inlineStr">
        <is>
          <t>SYSTEMATIC_HIGH</t>
        </is>
      </c>
      <c r="H20" s="19" t="inlineStr">
        <is>
          <t>All 5 months &gt;70% -&gt; likely missing cost</t>
        </is>
      </c>
      <c r="I20" s="20" t="n">
        <v>47.41</v>
      </c>
      <c r="J20" s="20" t="n">
        <v>34.49</v>
      </c>
      <c r="K20" s="21" t="n">
        <v>0.727484</v>
      </c>
      <c r="L20" s="20" t="n">
        <v>46.56</v>
      </c>
      <c r="M20" s="20" t="n">
        <v>33.88</v>
      </c>
      <c r="N20" s="21" t="n">
        <v>0.7276629999999999</v>
      </c>
      <c r="O20" s="20" t="n">
        <v>50.8</v>
      </c>
      <c r="P20" s="20" t="n">
        <v>36.96</v>
      </c>
      <c r="Q20" s="21" t="n">
        <v>0.727559</v>
      </c>
      <c r="R20" s="20" t="n">
        <v>47.89</v>
      </c>
      <c r="S20" s="20" t="n">
        <v>34.84</v>
      </c>
      <c r="T20" s="21" t="n">
        <v>0.727501</v>
      </c>
      <c r="U20" s="20" t="n">
        <v>52.73</v>
      </c>
      <c r="V20" s="20" t="n">
        <v>38.36</v>
      </c>
      <c r="W20" s="21" t="n">
        <v>0.72748</v>
      </c>
      <c r="X20" s="22" t="n">
        <v>245.39</v>
      </c>
      <c r="Y20" s="22" t="n">
        <v>178.53</v>
      </c>
      <c r="Z20" s="23" t="n">
        <v>0.727536</v>
      </c>
      <c r="AA20" s="23" t="n">
        <v>0.021299</v>
      </c>
    </row>
    <row r="21" ht="40" customHeight="1">
      <c r="A21" s="18" t="n">
        <v>17</v>
      </c>
      <c r="B21" s="18" t="inlineStr">
        <is>
          <t>Spain</t>
        </is>
      </c>
      <c r="C21" s="18" t="inlineStr">
        <is>
          <t>EUR</t>
        </is>
      </c>
      <c r="D21" s="18" t="inlineStr">
        <is>
          <t>GARCIA Alejandro</t>
        </is>
      </c>
      <c r="E21" s="19" t="inlineStr">
        <is>
          <t>GSK plc</t>
        </is>
      </c>
      <c r="F21" s="18" t="inlineStr">
        <is>
          <t>PR71043 - Automation Engineering - GARCIA Alejandro - 2026</t>
        </is>
      </c>
      <c r="G21" s="19" t="inlineStr">
        <is>
          <t>SYSTEMATIC_HIGH</t>
        </is>
      </c>
      <c r="H21" s="19" t="inlineStr">
        <is>
          <t>All 5 months &gt;70% -&gt; likely missing cost</t>
        </is>
      </c>
      <c r="I21" s="20" t="n">
        <v>279.4</v>
      </c>
      <c r="J21" s="20" t="n">
        <v>238.71</v>
      </c>
      <c r="K21" s="21" t="n">
        <v>0.854366</v>
      </c>
      <c r="L21" s="20" t="n">
        <v>304.8</v>
      </c>
      <c r="M21" s="20" t="n">
        <v>260.41</v>
      </c>
      <c r="N21" s="21" t="n">
        <v>0.854364</v>
      </c>
      <c r="O21" s="20" t="n">
        <v>302.06</v>
      </c>
      <c r="P21" s="20" t="n">
        <v>258.07</v>
      </c>
      <c r="Q21" s="21" t="n">
        <v>0.854367</v>
      </c>
      <c r="R21" s="20" t="n">
        <v>291.99</v>
      </c>
      <c r="S21" s="20" t="n">
        <v>249.47</v>
      </c>
      <c r="T21" s="21" t="n">
        <v>0.854379</v>
      </c>
      <c r="U21" s="20" t="n">
        <v>322.53</v>
      </c>
      <c r="V21" s="20" t="n">
        <v>275.56</v>
      </c>
      <c r="W21" s="21" t="n">
        <v>0.85437</v>
      </c>
      <c r="X21" s="22" t="n">
        <v>1500.78</v>
      </c>
      <c r="Y21" s="22" t="n">
        <v>1282.22</v>
      </c>
      <c r="Z21" s="23" t="n">
        <v>0.854369</v>
      </c>
      <c r="AA21" s="24" t="n">
        <v>0.206831</v>
      </c>
    </row>
    <row r="22" ht="40" customHeight="1">
      <c r="A22" s="18" t="n">
        <v>18</v>
      </c>
      <c r="B22" s="18" t="inlineStr">
        <is>
          <t>Canada</t>
        </is>
      </c>
      <c r="C22" s="18" t="inlineStr">
        <is>
          <t>CAD</t>
        </is>
      </c>
      <c r="D22" s="18" t="inlineStr">
        <is>
          <t>GIROUX Vincent</t>
        </is>
      </c>
      <c r="E22" s="19" t="inlineStr">
        <is>
          <t>PwC</t>
        </is>
      </c>
      <c r="F22" s="18" t="inlineStr">
        <is>
          <t>PR61587 - Application Support - GIROUX Vincent - 2026</t>
        </is>
      </c>
      <c r="G22" s="19" t="inlineStr">
        <is>
          <t>SYSTEMATIC_HIGH</t>
        </is>
      </c>
      <c r="H22" s="19" t="inlineStr">
        <is>
          <t>All 5 months &gt;70% -&gt; likely missing cost</t>
        </is>
      </c>
      <c r="I22" s="20" t="n">
        <v>193.58</v>
      </c>
      <c r="J22" s="20" t="n">
        <v>156.25</v>
      </c>
      <c r="K22" s="21" t="n">
        <v>0.80716</v>
      </c>
      <c r="L22" s="20" t="n">
        <v>204.78</v>
      </c>
      <c r="M22" s="20" t="n">
        <v>165.28</v>
      </c>
      <c r="N22" s="21" t="n">
        <v>0.80711</v>
      </c>
      <c r="O22" s="20" t="n">
        <v>240.99</v>
      </c>
      <c r="P22" s="20" t="n">
        <v>194.51</v>
      </c>
      <c r="Q22" s="21" t="n">
        <v>0.807129</v>
      </c>
      <c r="R22" s="20" t="n">
        <v>232.82</v>
      </c>
      <c r="S22" s="20" t="n">
        <v>187.92</v>
      </c>
      <c r="T22" s="21" t="n">
        <v>0.8071469999999999</v>
      </c>
      <c r="U22" s="20" t="n">
        <v>248.02</v>
      </c>
      <c r="V22" s="20" t="n">
        <v>200.19</v>
      </c>
      <c r="W22" s="21" t="n">
        <v>0.807153</v>
      </c>
      <c r="X22" s="22" t="n">
        <v>1120.19</v>
      </c>
      <c r="Y22" s="22" t="n">
        <v>904.15</v>
      </c>
      <c r="Z22" s="23" t="n">
        <v>0.80714</v>
      </c>
      <c r="AA22" s="23" t="n">
        <v>0.024487</v>
      </c>
    </row>
    <row r="23" ht="40" customHeight="1">
      <c r="A23" s="18" t="n">
        <v>19</v>
      </c>
      <c r="B23" s="18" t="inlineStr">
        <is>
          <t>Canada</t>
        </is>
      </c>
      <c r="C23" s="18" t="inlineStr">
        <is>
          <t>CAD</t>
        </is>
      </c>
      <c r="D23" s="18" t="inlineStr">
        <is>
          <t>GIROUX Vincent</t>
        </is>
      </c>
      <c r="E23" s="19" t="inlineStr">
        <is>
          <t>PwC</t>
        </is>
      </c>
      <c r="F23" s="18" t="inlineStr">
        <is>
          <t>PR61597 - Full Stack Development - GIROUX Vincent - 2026</t>
        </is>
      </c>
      <c r="G23" s="19" t="inlineStr">
        <is>
          <t>SYSTEMATIC_HIGH</t>
        </is>
      </c>
      <c r="H23" s="19" t="inlineStr">
        <is>
          <t>All 5 months &gt;70% -&gt; likely missing cost</t>
        </is>
      </c>
      <c r="I23" s="20" t="n">
        <v>209.14</v>
      </c>
      <c r="J23" s="20" t="n">
        <v>150.59</v>
      </c>
      <c r="K23" s="21" t="n">
        <v>0.720044</v>
      </c>
      <c r="L23" s="20" t="n">
        <v>219.92</v>
      </c>
      <c r="M23" s="20" t="n">
        <v>158.35</v>
      </c>
      <c r="N23" s="21" t="n">
        <v>0.720035</v>
      </c>
      <c r="O23" s="20" t="n">
        <v>235.85</v>
      </c>
      <c r="P23" s="20" t="n">
        <v>169.82</v>
      </c>
      <c r="Q23" s="21" t="n">
        <v>0.720034</v>
      </c>
      <c r="R23" s="20" t="n">
        <v>244.12</v>
      </c>
      <c r="S23" s="20" t="n">
        <v>175.78</v>
      </c>
      <c r="T23" s="21" t="n">
        <v>0.720056</v>
      </c>
      <c r="U23" s="20" t="n">
        <v>262.42</v>
      </c>
      <c r="V23" s="20" t="n">
        <v>188.96</v>
      </c>
      <c r="W23" s="21" t="n">
        <v>0.720067</v>
      </c>
      <c r="X23" s="22" t="n">
        <v>1171.45</v>
      </c>
      <c r="Y23" s="22" t="n">
        <v>843.5</v>
      </c>
      <c r="Z23" s="23" t="n">
        <v>0.720048</v>
      </c>
      <c r="AA23" s="23" t="n">
        <v>0.022844</v>
      </c>
    </row>
    <row r="24" ht="40" customHeight="1">
      <c r="A24" s="18" t="n">
        <v>20</v>
      </c>
      <c r="B24" s="18" t="inlineStr">
        <is>
          <t>Spain</t>
        </is>
      </c>
      <c r="C24" s="18" t="inlineStr">
        <is>
          <t>EUR</t>
        </is>
      </c>
      <c r="D24" s="18" t="inlineStr">
        <is>
          <t>HERNANDEZ Carlos</t>
        </is>
      </c>
      <c r="E24" s="19" t="inlineStr">
        <is>
          <t>ING Groep N.V.</t>
        </is>
      </c>
      <c r="F24" s="18" t="inlineStr">
        <is>
          <t>PR71230 - Cybersecurity Operations - HERNANDEZ Carlos - 2026</t>
        </is>
      </c>
      <c r="G24" s="19" t="inlineStr">
        <is>
          <t>SYSTEMATIC_HIGH</t>
        </is>
      </c>
      <c r="H24" s="19" t="inlineStr">
        <is>
          <t>All 5 months &gt;70% -&gt; likely missing cost</t>
        </is>
      </c>
      <c r="I24" s="20" t="n">
        <v>23.55</v>
      </c>
      <c r="J24" s="20" t="n">
        <v>19.63</v>
      </c>
      <c r="K24" s="21" t="n">
        <v>0.833546</v>
      </c>
      <c r="L24" s="20" t="n">
        <v>26.27</v>
      </c>
      <c r="M24" s="20" t="n">
        <v>21.89</v>
      </c>
      <c r="N24" s="21" t="n">
        <v>0.83327</v>
      </c>
      <c r="O24" s="20" t="n">
        <v>25.67</v>
      </c>
      <c r="P24" s="20" t="n">
        <v>21.39</v>
      </c>
      <c r="Q24" s="21" t="n">
        <v>0.833268</v>
      </c>
      <c r="R24" s="20" t="n">
        <v>24.98</v>
      </c>
      <c r="S24" s="20" t="n">
        <v>20.82</v>
      </c>
      <c r="T24" s="21" t="n">
        <v>0.833467</v>
      </c>
      <c r="U24" s="20" t="n">
        <v>26.19</v>
      </c>
      <c r="V24" s="20" t="n">
        <v>21.83</v>
      </c>
      <c r="W24" s="21" t="n">
        <v>0.833524</v>
      </c>
      <c r="X24" s="22" t="n">
        <v>126.66</v>
      </c>
      <c r="Y24" s="22" t="n">
        <v>105.56</v>
      </c>
      <c r="Z24" s="23" t="n">
        <v>0.833412</v>
      </c>
      <c r="AA24" s="23" t="n">
        <v>0.020631</v>
      </c>
    </row>
    <row r="25" ht="40" customHeight="1">
      <c r="A25" s="18" t="n">
        <v>21</v>
      </c>
      <c r="B25" s="18" t="inlineStr">
        <is>
          <t>Spain</t>
        </is>
      </c>
      <c r="C25" s="18" t="inlineStr">
        <is>
          <t>EUR</t>
        </is>
      </c>
      <c r="D25" s="18" t="inlineStr">
        <is>
          <t>HERNANDEZ Carlos</t>
        </is>
      </c>
      <c r="E25" s="19" t="inlineStr">
        <is>
          <t>NVIDIA Corporation</t>
        </is>
      </c>
      <c r="F25" s="18" t="inlineStr">
        <is>
          <t>PR71227 - Cloud Data Engineering - HERNANDEZ Carlos - 2026</t>
        </is>
      </c>
      <c r="G25" s="19" t="inlineStr">
        <is>
          <t>SYSTEMATIC_HIGH</t>
        </is>
      </c>
      <c r="H25" s="19" t="inlineStr">
        <is>
          <t>All 5 months &gt;70% -&gt; likely missing cost</t>
        </is>
      </c>
      <c r="I25" s="20" t="n">
        <v>22.39</v>
      </c>
      <c r="J25" s="20" t="n">
        <v>17.01</v>
      </c>
      <c r="K25" s="21" t="n">
        <v>0.759714</v>
      </c>
      <c r="L25" s="20" t="n">
        <v>24.41</v>
      </c>
      <c r="M25" s="20" t="n">
        <v>18.54</v>
      </c>
      <c r="N25" s="21" t="n">
        <v>0.759525</v>
      </c>
      <c r="O25" s="20" t="n">
        <v>25.53</v>
      </c>
      <c r="P25" s="20" t="n">
        <v>19.39</v>
      </c>
      <c r="Q25" s="21" t="n">
        <v>0.759499</v>
      </c>
      <c r="R25" s="20" t="n">
        <v>24.64</v>
      </c>
      <c r="S25" s="20" t="n">
        <v>18.71</v>
      </c>
      <c r="T25" s="21" t="n">
        <v>0.759334</v>
      </c>
      <c r="U25" s="20" t="n">
        <v>25.22</v>
      </c>
      <c r="V25" s="20" t="n">
        <v>19.15</v>
      </c>
      <c r="W25" s="21" t="n">
        <v>0.759318</v>
      </c>
      <c r="X25" s="22" t="n">
        <v>122.19</v>
      </c>
      <c r="Y25" s="22" t="n">
        <v>92.8</v>
      </c>
      <c r="Z25" s="23" t="n">
        <v>0.759473</v>
      </c>
      <c r="AA25" s="23" t="n">
        <v>0.018137</v>
      </c>
    </row>
    <row r="26" ht="40" customHeight="1">
      <c r="A26" s="18" t="n">
        <v>22</v>
      </c>
      <c r="B26" s="18" t="inlineStr">
        <is>
          <t>China</t>
        </is>
      </c>
      <c r="C26" s="18" t="inlineStr">
        <is>
          <t>CNY</t>
        </is>
      </c>
      <c r="D26" s="18" t="inlineStr">
        <is>
          <t>HU Jun</t>
        </is>
      </c>
      <c r="E26" s="19" t="inlineStr">
        <is>
          <t>BASF SE</t>
        </is>
      </c>
      <c r="F26" s="18" t="inlineStr">
        <is>
          <t>PR70116 - Quality Assurance - HU Jun - 2026</t>
        </is>
      </c>
      <c r="G26" s="19" t="inlineStr">
        <is>
          <t>SYSTEMATIC_HIGH</t>
        </is>
      </c>
      <c r="H26" s="19" t="inlineStr">
        <is>
          <t>All 5 months &gt;70% -&gt; likely missing cost</t>
        </is>
      </c>
      <c r="I26" s="20" t="n">
        <v>10595.35</v>
      </c>
      <c r="J26" s="20" t="n">
        <v>8882.959999999999</v>
      </c>
      <c r="K26" s="21" t="n">
        <v>0.838383</v>
      </c>
      <c r="L26" s="20" t="n">
        <v>10599.7</v>
      </c>
      <c r="M26" s="20" t="n">
        <v>8886.610000000001</v>
      </c>
      <c r="N26" s="21" t="n">
        <v>0.838383</v>
      </c>
      <c r="O26" s="20" t="n">
        <v>10885.78</v>
      </c>
      <c r="P26" s="20" t="n">
        <v>9126.450000000001</v>
      </c>
      <c r="Q26" s="21" t="n">
        <v>0.838383</v>
      </c>
      <c r="R26" s="20" t="n">
        <v>11281.15</v>
      </c>
      <c r="S26" s="20" t="n">
        <v>9457.92</v>
      </c>
      <c r="T26" s="21" t="n">
        <v>0.838383</v>
      </c>
      <c r="U26" s="20" t="n">
        <v>11244.16</v>
      </c>
      <c r="V26" s="20" t="n">
        <v>9426.91</v>
      </c>
      <c r="W26" s="21" t="n">
        <v>0.838383</v>
      </c>
      <c r="X26" s="22" t="n">
        <v>54606.14</v>
      </c>
      <c r="Y26" s="22" t="n">
        <v>45780.85</v>
      </c>
      <c r="Z26" s="23" t="n">
        <v>0.838383</v>
      </c>
      <c r="AA26" s="24" t="n">
        <v>0.54291</v>
      </c>
    </row>
    <row r="27" ht="40" customHeight="1">
      <c r="A27" s="18" t="n">
        <v>23</v>
      </c>
      <c r="B27" s="18" t="inlineStr">
        <is>
          <t>Vietnam</t>
        </is>
      </c>
      <c r="C27" s="18" t="inlineStr">
        <is>
          <t>VND</t>
        </is>
      </c>
      <c r="D27" s="18" t="inlineStr">
        <is>
          <t>HUYNH Lan</t>
        </is>
      </c>
      <c r="E27" s="19" t="inlineStr">
        <is>
          <t>Toyota Motor Corporation</t>
        </is>
      </c>
      <c r="F27" s="18" t="inlineStr">
        <is>
          <t>PR75577 - Mobile Application Development - HUYNH Lan - 2026</t>
        </is>
      </c>
      <c r="G27" s="19" t="inlineStr">
        <is>
          <t>SYSTEMATIC_HIGH</t>
        </is>
      </c>
      <c r="H27" s="19" t="inlineStr">
        <is>
          <t>All 5 months &gt;70% -&gt; likely missing cost</t>
        </is>
      </c>
      <c r="I27" s="20" t="n">
        <v>3534629.24</v>
      </c>
      <c r="J27" s="20" t="n">
        <v>2783228.7</v>
      </c>
      <c r="K27" s="21" t="n">
        <v>0.787417</v>
      </c>
      <c r="L27" s="20" t="n">
        <v>3801138.05</v>
      </c>
      <c r="M27" s="20" t="n">
        <v>2993082.39</v>
      </c>
      <c r="N27" s="21" t="n">
        <v>0.787417</v>
      </c>
      <c r="O27" s="20" t="n">
        <v>4114610.71</v>
      </c>
      <c r="P27" s="20" t="n">
        <v>3239916.23</v>
      </c>
      <c r="Q27" s="21" t="n">
        <v>0.787417</v>
      </c>
      <c r="R27" s="20" t="n">
        <v>3935429.04</v>
      </c>
      <c r="S27" s="20" t="n">
        <v>3098825.46</v>
      </c>
      <c r="T27" s="21" t="n">
        <v>0.787417</v>
      </c>
      <c r="U27" s="20" t="n">
        <v>4025179.87</v>
      </c>
      <c r="V27" s="20" t="n">
        <v>3169496.83</v>
      </c>
      <c r="W27" s="21" t="n">
        <v>0.787417</v>
      </c>
      <c r="X27" s="22" t="n">
        <v>19410986.91</v>
      </c>
      <c r="Y27" s="22" t="n">
        <v>15284549.61</v>
      </c>
      <c r="Z27" s="23" t="n">
        <v>0.787417</v>
      </c>
      <c r="AA27" s="23" t="n">
        <v>0.042358</v>
      </c>
    </row>
    <row r="28" ht="40" customHeight="1">
      <c r="A28" s="18" t="n">
        <v>24</v>
      </c>
      <c r="B28" s="18" t="inlineStr">
        <is>
          <t>Vietnam</t>
        </is>
      </c>
      <c r="C28" s="18" t="inlineStr">
        <is>
          <t>VND</t>
        </is>
      </c>
      <c r="D28" s="18" t="inlineStr">
        <is>
          <t>HUYNH Lan</t>
        </is>
      </c>
      <c r="E28" s="19" t="inlineStr">
        <is>
          <t>Toyota Motor Corporation</t>
        </is>
      </c>
      <c r="F28" s="18" t="inlineStr">
        <is>
          <t>PR75579 - Application Support - HUYNH Lan - 2026</t>
        </is>
      </c>
      <c r="G28" s="19" t="inlineStr">
        <is>
          <t>SYSTEMATIC_HIGH</t>
        </is>
      </c>
      <c r="H28" s="19" t="inlineStr">
        <is>
          <t>All 5 months &gt;70% -&gt; likely missing cost</t>
        </is>
      </c>
      <c r="I28" s="20" t="n">
        <v>3824307.15</v>
      </c>
      <c r="J28" s="20" t="n">
        <v>3217286.64</v>
      </c>
      <c r="K28" s="21" t="n">
        <v>0.841273</v>
      </c>
      <c r="L28" s="20" t="n">
        <v>3845251.4</v>
      </c>
      <c r="M28" s="20" t="n">
        <v>3234906.48</v>
      </c>
      <c r="N28" s="21" t="n">
        <v>0.841273</v>
      </c>
      <c r="O28" s="20" t="n">
        <v>4270778.15</v>
      </c>
      <c r="P28" s="20" t="n">
        <v>3592890.68</v>
      </c>
      <c r="Q28" s="21" t="n">
        <v>0.841273</v>
      </c>
      <c r="R28" s="20" t="n">
        <v>3900788.32</v>
      </c>
      <c r="S28" s="20" t="n">
        <v>3281628.2</v>
      </c>
      <c r="T28" s="21" t="n">
        <v>0.841273</v>
      </c>
      <c r="U28" s="20" t="n">
        <v>3997463.52</v>
      </c>
      <c r="V28" s="20" t="n">
        <v>3362958.44</v>
      </c>
      <c r="W28" s="21" t="n">
        <v>0.841273</v>
      </c>
      <c r="X28" s="22" t="n">
        <v>19838588.54</v>
      </c>
      <c r="Y28" s="22" t="n">
        <v>16689670.44</v>
      </c>
      <c r="Z28" s="23" t="n">
        <v>0.841273</v>
      </c>
      <c r="AA28" s="23" t="n">
        <v>0.046252</v>
      </c>
    </row>
    <row r="29" ht="40" customHeight="1">
      <c r="A29" s="18" t="n">
        <v>25</v>
      </c>
      <c r="B29" s="18" t="inlineStr">
        <is>
          <t>United States</t>
        </is>
      </c>
      <c r="C29" s="18" t="inlineStr">
        <is>
          <t>USD</t>
        </is>
      </c>
      <c r="D29" s="18" t="inlineStr">
        <is>
          <t>JACKSON Andrew</t>
        </is>
      </c>
      <c r="E29" s="19" t="inlineStr">
        <is>
          <t>KPMG International Cooperative</t>
        </is>
      </c>
      <c r="F29" s="18" t="inlineStr">
        <is>
          <t>PR70487 - Digital Transformation - JACKSON Andrew - 2026</t>
        </is>
      </c>
      <c r="G29" s="19" t="inlineStr">
        <is>
          <t>SYSTEMATIC_HIGH</t>
        </is>
      </c>
      <c r="H29" s="19" t="inlineStr">
        <is>
          <t>All 5 months &gt;70% -&gt; likely missing cost</t>
        </is>
      </c>
      <c r="I29" s="20" t="n">
        <v>544.8</v>
      </c>
      <c r="J29" s="20" t="n">
        <v>466.21</v>
      </c>
      <c r="K29" s="21" t="n">
        <v>0.855745</v>
      </c>
      <c r="L29" s="20" t="n">
        <v>588.97</v>
      </c>
      <c r="M29" s="20" t="n">
        <v>504.01</v>
      </c>
      <c r="N29" s="21" t="n">
        <v>0.855748</v>
      </c>
      <c r="O29" s="20" t="n">
        <v>653.3200000000001</v>
      </c>
      <c r="P29" s="20" t="n">
        <v>559.08</v>
      </c>
      <c r="Q29" s="21" t="n">
        <v>0.855752</v>
      </c>
      <c r="R29" s="20" t="n">
        <v>605.33</v>
      </c>
      <c r="S29" s="20" t="n">
        <v>518.01</v>
      </c>
      <c r="T29" s="21" t="n">
        <v>0.855748</v>
      </c>
      <c r="U29" s="20" t="n">
        <v>639.41</v>
      </c>
      <c r="V29" s="20" t="n">
        <v>547.1799999999999</v>
      </c>
      <c r="W29" s="21" t="n">
        <v>0.855758</v>
      </c>
      <c r="X29" s="22" t="n">
        <v>3031.83</v>
      </c>
      <c r="Y29" s="22" t="n">
        <v>2594.49</v>
      </c>
      <c r="Z29" s="23" t="n">
        <v>0.85575</v>
      </c>
      <c r="AA29" s="24" t="n">
        <v>0.118288</v>
      </c>
    </row>
    <row r="30" ht="40" customHeight="1">
      <c r="A30" s="18" t="n">
        <v>26</v>
      </c>
      <c r="B30" s="18" t="inlineStr">
        <is>
          <t>United States</t>
        </is>
      </c>
      <c r="C30" s="18" t="inlineStr">
        <is>
          <t>USD</t>
        </is>
      </c>
      <c r="D30" s="18" t="inlineStr">
        <is>
          <t>JACKSON Andrew</t>
        </is>
      </c>
      <c r="E30" s="19" t="inlineStr">
        <is>
          <t>KPMG International Cooperative</t>
        </is>
      </c>
      <c r="F30" s="18" t="inlineStr">
        <is>
          <t>PR70489 - ERP Integration - JACKSON Andrew - 2026</t>
        </is>
      </c>
      <c r="G30" s="19" t="inlineStr">
        <is>
          <t>SYSTEMATIC_HIGH</t>
        </is>
      </c>
      <c r="H30" s="19" t="inlineStr">
        <is>
          <t>All 5 months &gt;70% -&gt; likely missing cost</t>
        </is>
      </c>
      <c r="I30" s="20" t="n">
        <v>564.84</v>
      </c>
      <c r="J30" s="20" t="n">
        <v>470.82</v>
      </c>
      <c r="K30" s="21" t="n">
        <v>0.833546</v>
      </c>
      <c r="L30" s="20" t="n">
        <v>553.1799999999999</v>
      </c>
      <c r="M30" s="20" t="n">
        <v>461.1</v>
      </c>
      <c r="N30" s="21" t="n">
        <v>0.833544</v>
      </c>
      <c r="O30" s="20" t="n">
        <v>635.84</v>
      </c>
      <c r="P30" s="20" t="n">
        <v>530</v>
      </c>
      <c r="Q30" s="21" t="n">
        <v>0.833543</v>
      </c>
      <c r="R30" s="20" t="n">
        <v>626.62</v>
      </c>
      <c r="S30" s="20" t="n">
        <v>522.3200000000001</v>
      </c>
      <c r="T30" s="21" t="n">
        <v>0.833551</v>
      </c>
      <c r="U30" s="20" t="n">
        <v>597.08</v>
      </c>
      <c r="V30" s="20" t="n">
        <v>497.7</v>
      </c>
      <c r="W30" s="21" t="n">
        <v>0.833557</v>
      </c>
      <c r="X30" s="22" t="n">
        <v>2977.56</v>
      </c>
      <c r="Y30" s="22" t="n">
        <v>2481.94</v>
      </c>
      <c r="Z30" s="23" t="n">
        <v>0.833548</v>
      </c>
      <c r="AA30" s="24" t="n">
        <v>0.113157</v>
      </c>
    </row>
    <row r="31" ht="40" customHeight="1">
      <c r="A31" s="18" t="n">
        <v>27</v>
      </c>
      <c r="B31" s="18" t="inlineStr">
        <is>
          <t>United States</t>
        </is>
      </c>
      <c r="C31" s="18" t="inlineStr">
        <is>
          <t>USD</t>
        </is>
      </c>
      <c r="D31" s="18" t="inlineStr">
        <is>
          <t>JONES William</t>
        </is>
      </c>
      <c r="E31" s="19" t="inlineStr">
        <is>
          <t>FedEx Corporation</t>
        </is>
      </c>
      <c r="F31" s="18" t="inlineStr">
        <is>
          <t>PR70369 - Quality Assurance - JONES William - 2026</t>
        </is>
      </c>
      <c r="G31" s="19" t="inlineStr">
        <is>
          <t>SYSTEMATIC_HIGH</t>
        </is>
      </c>
      <c r="H31" s="19" t="inlineStr">
        <is>
          <t>All 3 months &gt;70% -&gt; likely missing cost</t>
        </is>
      </c>
      <c r="I31" s="20" t="inlineStr"/>
      <c r="J31" s="20" t="inlineStr"/>
      <c r="K31" s="25" t="inlineStr"/>
      <c r="L31" s="20" t="inlineStr"/>
      <c r="M31" s="20" t="inlineStr"/>
      <c r="N31" s="25" t="inlineStr"/>
      <c r="O31" s="20" t="n">
        <v>1452.41</v>
      </c>
      <c r="P31" s="20" t="n">
        <v>1134.65</v>
      </c>
      <c r="Q31" s="21" t="n">
        <v>0.781219</v>
      </c>
      <c r="R31" s="20" t="n">
        <v>1492.46</v>
      </c>
      <c r="S31" s="20" t="n">
        <v>1165.94</v>
      </c>
      <c r="T31" s="21" t="n">
        <v>0.78122</v>
      </c>
      <c r="U31" s="20" t="n">
        <v>1720.98</v>
      </c>
      <c r="V31" s="20" t="n">
        <v>1344.47</v>
      </c>
      <c r="W31" s="21" t="n">
        <v>0.781223</v>
      </c>
      <c r="X31" s="22" t="n">
        <v>4665.85</v>
      </c>
      <c r="Y31" s="22" t="n">
        <v>3645.06</v>
      </c>
      <c r="Z31" s="23" t="n">
        <v>0.7812210000000001</v>
      </c>
      <c r="AA31" s="24" t="n">
        <v>0.13007</v>
      </c>
    </row>
    <row r="32" ht="40" customHeight="1">
      <c r="A32" s="18" t="n">
        <v>28</v>
      </c>
      <c r="B32" s="18" t="inlineStr">
        <is>
          <t>Thailand</t>
        </is>
      </c>
      <c r="C32" s="18" t="inlineStr">
        <is>
          <t>THB</t>
        </is>
      </c>
      <c r="D32" s="18" t="inlineStr">
        <is>
          <t>KITTIPONG Mali</t>
        </is>
      </c>
      <c r="E32" s="19" t="inlineStr">
        <is>
          <t>Booking Holdings Inc.</t>
        </is>
      </c>
      <c r="F32" s="18" t="inlineStr">
        <is>
          <t>PR76018 - Automation Engineering - KITTIPONG Mali - 2026</t>
        </is>
      </c>
      <c r="G32" s="19" t="inlineStr">
        <is>
          <t>SYSTEMATIC_HIGH</t>
        </is>
      </c>
      <c r="H32" s="19" t="inlineStr">
        <is>
          <t>All 5 months &gt;70% -&gt; likely missing cost</t>
        </is>
      </c>
      <c r="I32" s="20" t="n">
        <v>4481.23</v>
      </c>
      <c r="J32" s="20" t="n">
        <v>3489.32</v>
      </c>
      <c r="K32" s="21" t="n">
        <v>0.778652</v>
      </c>
      <c r="L32" s="20" t="n">
        <v>4641.47</v>
      </c>
      <c r="M32" s="20" t="n">
        <v>3614.09</v>
      </c>
      <c r="N32" s="21" t="n">
        <v>0.778652</v>
      </c>
      <c r="O32" s="20" t="n">
        <v>4595.41</v>
      </c>
      <c r="P32" s="20" t="n">
        <v>3578.23</v>
      </c>
      <c r="Q32" s="21" t="n">
        <v>0.778652</v>
      </c>
      <c r="R32" s="20" t="n">
        <v>4402.75</v>
      </c>
      <c r="S32" s="20" t="n">
        <v>3428.2</v>
      </c>
      <c r="T32" s="21" t="n">
        <v>0.778651</v>
      </c>
      <c r="U32" s="20" t="n">
        <v>4938.26</v>
      </c>
      <c r="V32" s="20" t="n">
        <v>3845.19</v>
      </c>
      <c r="W32" s="21" t="n">
        <v>0.778653</v>
      </c>
      <c r="X32" s="22" t="n">
        <v>23059.12</v>
      </c>
      <c r="Y32" s="22" t="n">
        <v>17955.03</v>
      </c>
      <c r="Z32" s="23" t="n">
        <v>0.778652</v>
      </c>
      <c r="AA32" s="23" t="n">
        <v>0.032762</v>
      </c>
    </row>
    <row r="33" ht="40" customHeight="1">
      <c r="A33" s="18" t="n">
        <v>29</v>
      </c>
      <c r="B33" s="18" t="inlineStr">
        <is>
          <t>Vietnam</t>
        </is>
      </c>
      <c r="C33" s="18" t="inlineStr">
        <is>
          <t>VND</t>
        </is>
      </c>
      <c r="D33" s="18" t="inlineStr">
        <is>
          <t>LE Minh</t>
        </is>
      </c>
      <c r="E33" s="19" t="inlineStr">
        <is>
          <t>Roche Holding AG</t>
        </is>
      </c>
      <c r="F33" s="18" t="inlineStr">
        <is>
          <t>PR52336 - Mobile Application Development - LE Minh - 2026</t>
        </is>
      </c>
      <c r="G33" s="19" t="inlineStr">
        <is>
          <t>SYSTEMATIC_HIGH</t>
        </is>
      </c>
      <c r="H33" s="19" t="inlineStr">
        <is>
          <t>All 5 months &gt;70% -&gt; likely missing cost</t>
        </is>
      </c>
      <c r="I33" s="20" t="n">
        <v>3225938.17</v>
      </c>
      <c r="J33" s="20" t="n">
        <v>2540159.97</v>
      </c>
      <c r="K33" s="21" t="n">
        <v>0.787417</v>
      </c>
      <c r="L33" s="20" t="n">
        <v>3469171.87</v>
      </c>
      <c r="M33" s="20" t="n">
        <v>2731686.43</v>
      </c>
      <c r="N33" s="21" t="n">
        <v>0.787417</v>
      </c>
      <c r="O33" s="20" t="n">
        <v>3755267.91</v>
      </c>
      <c r="P33" s="20" t="n">
        <v>2956963.44</v>
      </c>
      <c r="Q33" s="21" t="n">
        <v>0.787417</v>
      </c>
      <c r="R33" s="20" t="n">
        <v>3591734.78</v>
      </c>
      <c r="S33" s="20" t="n">
        <v>2828194.6</v>
      </c>
      <c r="T33" s="21" t="n">
        <v>0.787417</v>
      </c>
      <c r="U33" s="20" t="n">
        <v>3673647.36</v>
      </c>
      <c r="V33" s="20" t="n">
        <v>2892694</v>
      </c>
      <c r="W33" s="21" t="n">
        <v>0.787417</v>
      </c>
      <c r="X33" s="22" t="n">
        <v>17715760.09</v>
      </c>
      <c r="Y33" s="22" t="n">
        <v>13949698.44</v>
      </c>
      <c r="Z33" s="23" t="n">
        <v>0.787417</v>
      </c>
      <c r="AA33" s="23" t="n">
        <v>0.042358</v>
      </c>
    </row>
    <row r="34" ht="40" customHeight="1">
      <c r="A34" s="18" t="n">
        <v>30</v>
      </c>
      <c r="B34" s="18" t="inlineStr">
        <is>
          <t>Canada</t>
        </is>
      </c>
      <c r="C34" s="18" t="inlineStr">
        <is>
          <t>CAD</t>
        </is>
      </c>
      <c r="D34" s="18" t="inlineStr">
        <is>
          <t>LEBLANC Marc</t>
        </is>
      </c>
      <c r="E34" s="19" t="inlineStr">
        <is>
          <t>PwC</t>
        </is>
      </c>
      <c r="F34" s="18" t="inlineStr">
        <is>
          <t>PR60471 - Application Support - LEBLANC Marc - 2026</t>
        </is>
      </c>
      <c r="G34" s="19" t="inlineStr">
        <is>
          <t>SYSTEMATIC_HIGH</t>
        </is>
      </c>
      <c r="H34" s="19" t="inlineStr">
        <is>
          <t>All 5 months &gt;70% -&gt; likely missing cost</t>
        </is>
      </c>
      <c r="I34" s="20" t="n">
        <v>346.15</v>
      </c>
      <c r="J34" s="20" t="n">
        <v>266.38</v>
      </c>
      <c r="K34" s="21" t="n">
        <v>0.769551</v>
      </c>
      <c r="L34" s="20" t="n">
        <v>352.31</v>
      </c>
      <c r="M34" s="20" t="n">
        <v>271.12</v>
      </c>
      <c r="N34" s="21" t="n">
        <v>0.76955</v>
      </c>
      <c r="O34" s="20" t="n">
        <v>389.1</v>
      </c>
      <c r="P34" s="20" t="n">
        <v>299.43</v>
      </c>
      <c r="Q34" s="21" t="n">
        <v>0.769545</v>
      </c>
      <c r="R34" s="20" t="n">
        <v>358.07</v>
      </c>
      <c r="S34" s="20" t="n">
        <v>275.55</v>
      </c>
      <c r="T34" s="21" t="n">
        <v>0.7695419999999999</v>
      </c>
      <c r="U34" s="20" t="n">
        <v>397.36</v>
      </c>
      <c r="V34" s="20" t="n">
        <v>305.78</v>
      </c>
      <c r="W34" s="21" t="n">
        <v>0.769529</v>
      </c>
      <c r="X34" s="22" t="n">
        <v>1842.99</v>
      </c>
      <c r="Y34" s="22" t="n">
        <v>1418.26</v>
      </c>
      <c r="Z34" s="23" t="n">
        <v>0.769543</v>
      </c>
      <c r="AA34" s="23" t="n">
        <v>0.022808</v>
      </c>
    </row>
    <row r="35" ht="40" customHeight="1">
      <c r="A35" s="18" t="n">
        <v>31</v>
      </c>
      <c r="B35" s="18" t="inlineStr">
        <is>
          <t>Canada</t>
        </is>
      </c>
      <c r="C35" s="18" t="inlineStr">
        <is>
          <t>CAD</t>
        </is>
      </c>
      <c r="D35" s="18" t="inlineStr">
        <is>
          <t>LEBLANC Marc</t>
        </is>
      </c>
      <c r="E35" s="19" t="inlineStr">
        <is>
          <t>PwC</t>
        </is>
      </c>
      <c r="F35" s="18" t="inlineStr">
        <is>
          <t>PR60473 - Application Support - LEBLANC Marc - 2026</t>
        </is>
      </c>
      <c r="G35" s="19" t="inlineStr">
        <is>
          <t>SYSTEMATIC_HIGH</t>
        </is>
      </c>
      <c r="H35" s="19" t="inlineStr">
        <is>
          <t>All 5 months &gt;70% -&gt; likely missing cost</t>
        </is>
      </c>
      <c r="I35" s="20" t="n">
        <v>346.87</v>
      </c>
      <c r="J35" s="20" t="n">
        <v>253.79</v>
      </c>
      <c r="K35" s="21" t="n">
        <v>0.731657</v>
      </c>
      <c r="L35" s="20" t="n">
        <v>365.68</v>
      </c>
      <c r="M35" s="20" t="n">
        <v>267.55</v>
      </c>
      <c r="N35" s="21" t="n">
        <v>0.7316510000000001</v>
      </c>
      <c r="O35" s="20" t="n">
        <v>361.37</v>
      </c>
      <c r="P35" s="20" t="n">
        <v>264.4</v>
      </c>
      <c r="Q35" s="21" t="n">
        <v>0.73166</v>
      </c>
      <c r="R35" s="20" t="n">
        <v>377.38</v>
      </c>
      <c r="S35" s="20" t="n">
        <v>276.11</v>
      </c>
      <c r="T35" s="21" t="n">
        <v>0.73165</v>
      </c>
      <c r="U35" s="20" t="n">
        <v>401.83</v>
      </c>
      <c r="V35" s="20" t="n">
        <v>294</v>
      </c>
      <c r="W35" s="21" t="n">
        <v>0.731653</v>
      </c>
      <c r="X35" s="22" t="n">
        <v>1853.13</v>
      </c>
      <c r="Y35" s="22" t="n">
        <v>1355.85</v>
      </c>
      <c r="Z35" s="23" t="n">
        <v>0.731654</v>
      </c>
      <c r="AA35" s="23" t="n">
        <v>0.021804</v>
      </c>
    </row>
    <row r="36" ht="40" customHeight="1">
      <c r="A36" s="18" t="n">
        <v>32</v>
      </c>
      <c r="B36" s="18" t="inlineStr">
        <is>
          <t>Spain</t>
        </is>
      </c>
      <c r="C36" s="18" t="inlineStr">
        <is>
          <t>EUR</t>
        </is>
      </c>
      <c r="D36" s="18" t="inlineStr">
        <is>
          <t>LOPEZ Carmen</t>
        </is>
      </c>
      <c r="E36" s="19" t="inlineStr">
        <is>
          <t>Apple Inc.</t>
        </is>
      </c>
      <c r="F36" s="18" t="inlineStr">
        <is>
          <t>PR71105 - Application Support - LOPEZ Carmen - 2026</t>
        </is>
      </c>
      <c r="G36" s="19" t="inlineStr">
        <is>
          <t>SYSTEMATIC_HIGH</t>
        </is>
      </c>
      <c r="H36" s="19" t="inlineStr">
        <is>
          <t>All 5 months &gt;70% -&gt; likely missing cost</t>
        </is>
      </c>
      <c r="I36" s="20" t="n">
        <v>836.71</v>
      </c>
      <c r="J36" s="20" t="n">
        <v>664.96</v>
      </c>
      <c r="K36" s="21" t="n">
        <v>0.794732</v>
      </c>
      <c r="L36" s="20" t="n">
        <v>892.83</v>
      </c>
      <c r="M36" s="20" t="n">
        <v>709.5599999999999</v>
      </c>
      <c r="N36" s="21" t="n">
        <v>0.794731</v>
      </c>
      <c r="O36" s="20" t="n">
        <v>925.42</v>
      </c>
      <c r="P36" s="20" t="n">
        <v>735.46</v>
      </c>
      <c r="Q36" s="21" t="n">
        <v>0.794731</v>
      </c>
      <c r="R36" s="20" t="n">
        <v>867.99</v>
      </c>
      <c r="S36" s="20" t="n">
        <v>689.8099999999999</v>
      </c>
      <c r="T36" s="21" t="n">
        <v>0.794721</v>
      </c>
      <c r="U36" s="20" t="n">
        <v>981.48</v>
      </c>
      <c r="V36" s="20" t="n">
        <v>780.01</v>
      </c>
      <c r="W36" s="21" t="n">
        <v>0.794728</v>
      </c>
      <c r="X36" s="22" t="n">
        <v>4504.43</v>
      </c>
      <c r="Y36" s="22" t="n">
        <v>3579.8</v>
      </c>
      <c r="Z36" s="23" t="n">
        <v>0.794729</v>
      </c>
      <c r="AA36" s="24" t="n">
        <v>0.253812</v>
      </c>
    </row>
    <row r="37" ht="40" customHeight="1">
      <c r="A37" s="18" t="n">
        <v>33</v>
      </c>
      <c r="B37" s="18" t="inlineStr">
        <is>
          <t>Spain</t>
        </is>
      </c>
      <c r="C37" s="18" t="inlineStr">
        <is>
          <t>EUR</t>
        </is>
      </c>
      <c r="D37" s="18" t="inlineStr">
        <is>
          <t>LOPEZ Carmen</t>
        </is>
      </c>
      <c r="E37" s="19" t="inlineStr">
        <is>
          <t>Samsung Electronics Co., Ltd.</t>
        </is>
      </c>
      <c r="F37" s="18" t="inlineStr">
        <is>
          <t>PR71102 - Project Management - LOPEZ Carmen - 2026</t>
        </is>
      </c>
      <c r="G37" s="19" t="inlineStr">
        <is>
          <t>SYSTEMATIC_HIGH</t>
        </is>
      </c>
      <c r="H37" s="19" t="inlineStr">
        <is>
          <t>All 5 months &gt;70% -&gt; likely missing cost</t>
        </is>
      </c>
      <c r="I37" s="20" t="n">
        <v>817.33</v>
      </c>
      <c r="J37" s="20" t="n">
        <v>601.02</v>
      </c>
      <c r="K37" s="21" t="n">
        <v>0.7353460000000001</v>
      </c>
      <c r="L37" s="20" t="n">
        <v>857.04</v>
      </c>
      <c r="M37" s="20" t="n">
        <v>630.22</v>
      </c>
      <c r="N37" s="21" t="n">
        <v>0.735345</v>
      </c>
      <c r="O37" s="20" t="n">
        <v>956.97</v>
      </c>
      <c r="P37" s="20" t="n">
        <v>703.71</v>
      </c>
      <c r="Q37" s="21" t="n">
        <v>0.735352</v>
      </c>
      <c r="R37" s="20" t="n">
        <v>880.02</v>
      </c>
      <c r="S37" s="20" t="n">
        <v>647.12</v>
      </c>
      <c r="T37" s="21" t="n">
        <v>0.735347</v>
      </c>
      <c r="U37" s="20" t="n">
        <v>920.9400000000001</v>
      </c>
      <c r="V37" s="20" t="n">
        <v>677.21</v>
      </c>
      <c r="W37" s="21" t="n">
        <v>0.7353460000000001</v>
      </c>
      <c r="X37" s="22" t="n">
        <v>4432.3</v>
      </c>
      <c r="Y37" s="22" t="n">
        <v>3259.28</v>
      </c>
      <c r="Z37" s="23" t="n">
        <v>0.735347</v>
      </c>
      <c r="AA37" s="24" t="n">
        <v>0.231087</v>
      </c>
    </row>
    <row r="38" ht="40" customHeight="1">
      <c r="A38" s="18" t="n">
        <v>34</v>
      </c>
      <c r="B38" s="18" t="inlineStr">
        <is>
          <t>Italy</t>
        </is>
      </c>
      <c r="C38" s="18" t="inlineStr">
        <is>
          <t>EUR</t>
        </is>
      </c>
      <c r="D38" s="18" t="inlineStr">
        <is>
          <t>MANCINI Laura</t>
        </is>
      </c>
      <c r="E38" s="19" t="inlineStr">
        <is>
          <t>Uber Technologies, Inc.</t>
        </is>
      </c>
      <c r="F38" s="18" t="inlineStr">
        <is>
          <t>PR76247 - Cloud Data Engineering - MANCINI Laura - 2026</t>
        </is>
      </c>
      <c r="G38" s="19" t="inlineStr">
        <is>
          <t>SYSTEMATIC_HIGH</t>
        </is>
      </c>
      <c r="H38" s="19" t="inlineStr">
        <is>
          <t>All 5 months &gt;70% -&gt; likely missing cost</t>
        </is>
      </c>
      <c r="I38" s="20" t="n">
        <v>678.03</v>
      </c>
      <c r="J38" s="20" t="n">
        <v>517.2</v>
      </c>
      <c r="K38" s="21" t="n">
        <v>0.762798</v>
      </c>
      <c r="L38" s="20" t="n">
        <v>698.47</v>
      </c>
      <c r="M38" s="20" t="n">
        <v>532.79</v>
      </c>
      <c r="N38" s="21" t="n">
        <v>0.762798</v>
      </c>
      <c r="O38" s="20" t="n">
        <v>691.59</v>
      </c>
      <c r="P38" s="20" t="n">
        <v>527.54</v>
      </c>
      <c r="Q38" s="21" t="n">
        <v>0.762792</v>
      </c>
      <c r="R38" s="20" t="n">
        <v>664.8200000000001</v>
      </c>
      <c r="S38" s="20" t="n">
        <v>507.12</v>
      </c>
      <c r="T38" s="21" t="n">
        <v>0.7627930000000001</v>
      </c>
      <c r="U38" s="20" t="n">
        <v>727.11</v>
      </c>
      <c r="V38" s="20" t="n">
        <v>554.63</v>
      </c>
      <c r="W38" s="21" t="n">
        <v>0.762792</v>
      </c>
      <c r="X38" s="22" t="n">
        <v>3460.02</v>
      </c>
      <c r="Y38" s="22" t="n">
        <v>2639.28</v>
      </c>
      <c r="Z38" s="23" t="n">
        <v>0.7627930000000001</v>
      </c>
      <c r="AA38" s="24" t="n">
        <v>0.182009</v>
      </c>
    </row>
    <row r="39" ht="40" customHeight="1">
      <c r="A39" s="18" t="n">
        <v>35</v>
      </c>
      <c r="B39" s="18" t="inlineStr">
        <is>
          <t>Italy</t>
        </is>
      </c>
      <c r="C39" s="18" t="inlineStr">
        <is>
          <t>EUR</t>
        </is>
      </c>
      <c r="D39" s="18" t="inlineStr">
        <is>
          <t>MARINO Chiara</t>
        </is>
      </c>
      <c r="E39" s="19" t="inlineStr">
        <is>
          <t>Uber Technologies, Inc.</t>
        </is>
      </c>
      <c r="F39" s="18" t="inlineStr">
        <is>
          <t>PR76229 - Cloud Data Engineering - MARINO Chiara - 2026</t>
        </is>
      </c>
      <c r="G39" s="19" t="inlineStr">
        <is>
          <t>SYSTEMATIC_HIGH</t>
        </is>
      </c>
      <c r="H39" s="19" t="inlineStr">
        <is>
          <t>All 5 months &gt;70% -&gt; likely missing cost</t>
        </is>
      </c>
      <c r="I39" s="20" t="n">
        <v>827.62</v>
      </c>
      <c r="J39" s="20" t="n">
        <v>631.3</v>
      </c>
      <c r="K39" s="21" t="n">
        <v>0.762798</v>
      </c>
      <c r="L39" s="20" t="n">
        <v>852.5700000000001</v>
      </c>
      <c r="M39" s="20" t="n">
        <v>650.34</v>
      </c>
      <c r="N39" s="21" t="n">
        <v>0.762798</v>
      </c>
      <c r="O39" s="20" t="n">
        <v>844.17</v>
      </c>
      <c r="P39" s="20" t="n">
        <v>643.9299999999999</v>
      </c>
      <c r="Q39" s="21" t="n">
        <v>0.762792</v>
      </c>
      <c r="R39" s="20" t="n">
        <v>811.49</v>
      </c>
      <c r="S39" s="20" t="n">
        <v>619</v>
      </c>
      <c r="T39" s="21" t="n">
        <v>0.7627930000000001</v>
      </c>
      <c r="U39" s="20" t="n">
        <v>887.53</v>
      </c>
      <c r="V39" s="20" t="n">
        <v>677</v>
      </c>
      <c r="W39" s="21" t="n">
        <v>0.762792</v>
      </c>
      <c r="X39" s="22" t="n">
        <v>4223.38</v>
      </c>
      <c r="Y39" s="22" t="n">
        <v>3221.57</v>
      </c>
      <c r="Z39" s="23" t="n">
        <v>0.762794</v>
      </c>
      <c r="AA39" s="24" t="n">
        <v>0.182009</v>
      </c>
    </row>
    <row r="40" ht="40" customHeight="1">
      <c r="A40" s="18" t="n">
        <v>36</v>
      </c>
      <c r="B40" s="18" t="inlineStr">
        <is>
          <t>Canada</t>
        </is>
      </c>
      <c r="C40" s="18" t="inlineStr">
        <is>
          <t>CAD</t>
        </is>
      </c>
      <c r="D40" s="18" t="inlineStr">
        <is>
          <t>MARTIN Olivia</t>
        </is>
      </c>
      <c r="E40" s="19" t="inlineStr">
        <is>
          <t>Target Corporation</t>
        </is>
      </c>
      <c r="F40" s="18" t="inlineStr">
        <is>
          <t>PR60008 - Application Support - MARTIN Olivia - 2026</t>
        </is>
      </c>
      <c r="G40" s="19" t="inlineStr">
        <is>
          <t>SYSTEMATIC_HIGH</t>
        </is>
      </c>
      <c r="H40" s="19" t="inlineStr">
        <is>
          <t>All 5 months &gt;70% -&gt; likely missing cost</t>
        </is>
      </c>
      <c r="I40" s="20" t="n">
        <v>86.39</v>
      </c>
      <c r="J40" s="20" t="n">
        <v>69.45999999999999</v>
      </c>
      <c r="K40" s="21" t="n">
        <v>0.804028</v>
      </c>
      <c r="L40" s="20" t="n">
        <v>88.26000000000001</v>
      </c>
      <c r="M40" s="20" t="n">
        <v>70.95999999999999</v>
      </c>
      <c r="N40" s="21" t="n">
        <v>0.803988</v>
      </c>
      <c r="O40" s="20" t="n">
        <v>93.84999999999999</v>
      </c>
      <c r="P40" s="20" t="n">
        <v>75.45999999999999</v>
      </c>
      <c r="Q40" s="21" t="n">
        <v>0.804049</v>
      </c>
      <c r="R40" s="20" t="n">
        <v>99.87</v>
      </c>
      <c r="S40" s="20" t="n">
        <v>80.3</v>
      </c>
      <c r="T40" s="21" t="n">
        <v>0.804045</v>
      </c>
      <c r="U40" s="20" t="n">
        <v>104.05</v>
      </c>
      <c r="V40" s="20" t="n">
        <v>83.66</v>
      </c>
      <c r="W40" s="21" t="n">
        <v>0.804037</v>
      </c>
      <c r="X40" s="22" t="n">
        <v>472.42</v>
      </c>
      <c r="Y40" s="22" t="n">
        <v>379.84</v>
      </c>
      <c r="Z40" s="23" t="n">
        <v>0.80403</v>
      </c>
      <c r="AA40" s="23" t="n">
        <v>0.024408</v>
      </c>
    </row>
    <row r="41" ht="40" customHeight="1">
      <c r="A41" s="18" t="n">
        <v>37</v>
      </c>
      <c r="B41" s="18" t="inlineStr">
        <is>
          <t>Canada</t>
        </is>
      </c>
      <c r="C41" s="18" t="inlineStr">
        <is>
          <t>CAD</t>
        </is>
      </c>
      <c r="D41" s="18" t="inlineStr">
        <is>
          <t>MARTIN Olivia</t>
        </is>
      </c>
      <c r="E41" s="19" t="inlineStr">
        <is>
          <t>Target Corporation</t>
        </is>
      </c>
      <c r="F41" s="18" t="inlineStr">
        <is>
          <t>PR60017 - Automation Engineering - MARTIN Olivia - 2026</t>
        </is>
      </c>
      <c r="G41" s="19" t="inlineStr">
        <is>
          <t>SYSTEMATIC_HIGH</t>
        </is>
      </c>
      <c r="H41" s="19" t="inlineStr">
        <is>
          <t>All 5 months &gt;70% -&gt; likely missing cost</t>
        </is>
      </c>
      <c r="I41" s="20" t="n">
        <v>89.04000000000001</v>
      </c>
      <c r="J41" s="20" t="n">
        <v>66.11</v>
      </c>
      <c r="K41" s="21" t="n">
        <v>0.742475</v>
      </c>
      <c r="L41" s="20" t="n">
        <v>91.81999999999999</v>
      </c>
      <c r="M41" s="20" t="n">
        <v>68.17</v>
      </c>
      <c r="N41" s="21" t="n">
        <v>0.742431</v>
      </c>
      <c r="O41" s="20" t="n">
        <v>101.91</v>
      </c>
      <c r="P41" s="20" t="n">
        <v>75.66</v>
      </c>
      <c r="Q41" s="21" t="n">
        <v>0.74242</v>
      </c>
      <c r="R41" s="20" t="n">
        <v>95.12</v>
      </c>
      <c r="S41" s="20" t="n">
        <v>70.62</v>
      </c>
      <c r="T41" s="21" t="n">
        <v>0.742431</v>
      </c>
      <c r="U41" s="20" t="n">
        <v>97.84</v>
      </c>
      <c r="V41" s="20" t="n">
        <v>72.64</v>
      </c>
      <c r="W41" s="21" t="n">
        <v>0.742437</v>
      </c>
      <c r="X41" s="22" t="n">
        <v>475.73</v>
      </c>
      <c r="Y41" s="22" t="n">
        <v>353.2</v>
      </c>
      <c r="Z41" s="23" t="n">
        <v>0.742438</v>
      </c>
      <c r="AA41" s="23" t="n">
        <v>0.022696</v>
      </c>
    </row>
    <row r="42" ht="40" customHeight="1">
      <c r="A42" s="18" t="n">
        <v>38</v>
      </c>
      <c r="B42" s="18" t="inlineStr">
        <is>
          <t>United States</t>
        </is>
      </c>
      <c r="C42" s="18" t="inlineStr">
        <is>
          <t>USD</t>
        </is>
      </c>
      <c r="D42" s="18" t="inlineStr">
        <is>
          <t>MILLER Daniel</t>
        </is>
      </c>
      <c r="E42" s="19" t="inlineStr">
        <is>
          <t>SAP SE</t>
        </is>
      </c>
      <c r="F42" s="18" t="inlineStr">
        <is>
          <t>PR70400 - ERP Integration - MILLER Daniel - 2026</t>
        </is>
      </c>
      <c r="G42" s="19" t="inlineStr">
        <is>
          <t>SYSTEMATIC_HIGH</t>
        </is>
      </c>
      <c r="H42" s="19" t="inlineStr">
        <is>
          <t>All 5 months &gt;70% -&gt; likely missing cost</t>
        </is>
      </c>
      <c r="I42" s="20" t="n">
        <v>38.91</v>
      </c>
      <c r="J42" s="20" t="n">
        <v>28.03</v>
      </c>
      <c r="K42" s="21" t="n">
        <v>0.72038</v>
      </c>
      <c r="L42" s="20" t="n">
        <v>42.64</v>
      </c>
      <c r="M42" s="20" t="n">
        <v>30.72</v>
      </c>
      <c r="N42" s="21" t="n">
        <v>0.72045</v>
      </c>
      <c r="O42" s="20" t="n">
        <v>44.99</v>
      </c>
      <c r="P42" s="20" t="n">
        <v>32.41</v>
      </c>
      <c r="Q42" s="21" t="n">
        <v>0.720382</v>
      </c>
      <c r="R42" s="20" t="n">
        <v>46.67</v>
      </c>
      <c r="S42" s="20" t="n">
        <v>33.62</v>
      </c>
      <c r="T42" s="21" t="n">
        <v>0.720377</v>
      </c>
      <c r="U42" s="20" t="n">
        <v>44.85</v>
      </c>
      <c r="V42" s="20" t="n">
        <v>32.31</v>
      </c>
      <c r="W42" s="21" t="n">
        <v>0.720401</v>
      </c>
      <c r="X42" s="22" t="n">
        <v>218.06</v>
      </c>
      <c r="Y42" s="22" t="n">
        <v>157.09</v>
      </c>
      <c r="Z42" s="23" t="n">
        <v>0.720398</v>
      </c>
      <c r="AA42" s="23" t="n">
        <v>0.031119</v>
      </c>
    </row>
    <row r="43" ht="40" customHeight="1">
      <c r="A43" s="18" t="n">
        <v>39</v>
      </c>
      <c r="B43" s="18" t="inlineStr">
        <is>
          <t>United States</t>
        </is>
      </c>
      <c r="C43" s="18" t="inlineStr">
        <is>
          <t>USD</t>
        </is>
      </c>
      <c r="D43" s="18" t="inlineStr">
        <is>
          <t>MILLER Daniel</t>
        </is>
      </c>
      <c r="E43" s="19" t="inlineStr">
        <is>
          <t>Stellantis N.V.</t>
        </is>
      </c>
      <c r="F43" s="18" t="inlineStr">
        <is>
          <t>PR70388 - Automation Engineering - MILLER Daniel - 2026</t>
        </is>
      </c>
      <c r="G43" s="19" t="inlineStr">
        <is>
          <t>SYSTEMATIC_HIGH</t>
        </is>
      </c>
      <c r="H43" s="19" t="inlineStr">
        <is>
          <t>All 5 months &gt;70% -&gt; likely missing cost</t>
        </is>
      </c>
      <c r="I43" s="20" t="n">
        <v>38.96</v>
      </c>
      <c r="J43" s="20" t="n">
        <v>29.12</v>
      </c>
      <c r="K43" s="21" t="n">
        <v>0.747433</v>
      </c>
      <c r="L43" s="20" t="n">
        <v>44.49</v>
      </c>
      <c r="M43" s="20" t="n">
        <v>33.25</v>
      </c>
      <c r="N43" s="21" t="n">
        <v>0.747359</v>
      </c>
      <c r="O43" s="20" t="n">
        <v>46.34</v>
      </c>
      <c r="P43" s="20" t="n">
        <v>34.64</v>
      </c>
      <c r="Q43" s="21" t="n">
        <v>0.747518</v>
      </c>
      <c r="R43" s="20" t="n">
        <v>42.24</v>
      </c>
      <c r="S43" s="20" t="n">
        <v>31.57</v>
      </c>
      <c r="T43" s="21" t="n">
        <v>0.7473959999999999</v>
      </c>
      <c r="U43" s="20" t="n">
        <v>48.38</v>
      </c>
      <c r="V43" s="20" t="n">
        <v>36.16</v>
      </c>
      <c r="W43" s="21" t="n">
        <v>0.747416</v>
      </c>
      <c r="X43" s="22" t="n">
        <v>220.41</v>
      </c>
      <c r="Y43" s="22" t="n">
        <v>164.74</v>
      </c>
      <c r="Z43" s="23" t="n">
        <v>0.747425</v>
      </c>
      <c r="AA43" s="23" t="n">
        <v>0.032635</v>
      </c>
    </row>
    <row r="44" ht="40" customHeight="1">
      <c r="A44" s="18" t="n">
        <v>40</v>
      </c>
      <c r="B44" s="18" t="inlineStr">
        <is>
          <t>United States</t>
        </is>
      </c>
      <c r="C44" s="18" t="inlineStr">
        <is>
          <t>USD</t>
        </is>
      </c>
      <c r="D44" s="18" t="inlineStr">
        <is>
          <t>MOORE Matthew</t>
        </is>
      </c>
      <c r="E44" s="19" t="inlineStr">
        <is>
          <t>Novartis AG</t>
        </is>
      </c>
      <c r="F44" s="18" t="inlineStr">
        <is>
          <t>PR70415 - Project Management - MOORE Matthew - 2026</t>
        </is>
      </c>
      <c r="G44" s="19" t="inlineStr">
        <is>
          <t>SYSTEMATIC_HIGH</t>
        </is>
      </c>
      <c r="H44" s="19" t="inlineStr">
        <is>
          <t>All 5 months &gt;70% -&gt; likely missing cost</t>
        </is>
      </c>
      <c r="I44" s="20" t="n">
        <v>28.39</v>
      </c>
      <c r="J44" s="20" t="n">
        <v>22.29</v>
      </c>
      <c r="K44" s="21" t="n">
        <v>0.7851359999999999</v>
      </c>
      <c r="L44" s="20" t="n">
        <v>31.33</v>
      </c>
      <c r="M44" s="20" t="n">
        <v>24.6</v>
      </c>
      <c r="N44" s="21" t="n">
        <v>0.7851900000000001</v>
      </c>
      <c r="O44" s="20" t="n">
        <v>32.87</v>
      </c>
      <c r="P44" s="20" t="n">
        <v>25.81</v>
      </c>
      <c r="Q44" s="21" t="n">
        <v>0.785214</v>
      </c>
      <c r="R44" s="20" t="n">
        <v>31.58</v>
      </c>
      <c r="S44" s="20" t="n">
        <v>24.8</v>
      </c>
      <c r="T44" s="21" t="n">
        <v>0.785307</v>
      </c>
      <c r="U44" s="20" t="n">
        <v>33.99</v>
      </c>
      <c r="V44" s="20" t="n">
        <v>26.69</v>
      </c>
      <c r="W44" s="21" t="n">
        <v>0.785231</v>
      </c>
      <c r="X44" s="22" t="n">
        <v>158.16</v>
      </c>
      <c r="Y44" s="22" t="n">
        <v>124.19</v>
      </c>
      <c r="Z44" s="23" t="n">
        <v>0.785218</v>
      </c>
      <c r="AA44" s="23" t="n">
        <v>0.029915</v>
      </c>
    </row>
    <row r="45" ht="40" customHeight="1">
      <c r="A45" s="18" t="n">
        <v>41</v>
      </c>
      <c r="B45" s="18" t="inlineStr">
        <is>
          <t>Spain</t>
        </is>
      </c>
      <c r="C45" s="18" t="inlineStr">
        <is>
          <t>EUR</t>
        </is>
      </c>
      <c r="D45" s="18" t="inlineStr">
        <is>
          <t>MORENO Diego</t>
        </is>
      </c>
      <c r="E45" s="19" t="inlineStr">
        <is>
          <t>Target Corporation</t>
        </is>
      </c>
      <c r="F45" s="18" t="inlineStr">
        <is>
          <t>PR71277 - Application Support - MORENO Diego - 2026</t>
        </is>
      </c>
      <c r="G45" s="19" t="inlineStr">
        <is>
          <t>SYSTEMATIC_HIGH</t>
        </is>
      </c>
      <c r="H45" s="19" t="inlineStr">
        <is>
          <t>All 5 months &gt;70% -&gt; likely missing cost</t>
        </is>
      </c>
      <c r="I45" s="20" t="n">
        <v>90.01000000000001</v>
      </c>
      <c r="J45" s="20" t="n">
        <v>69.05</v>
      </c>
      <c r="K45" s="21" t="n">
        <v>0.767137</v>
      </c>
      <c r="L45" s="20" t="n">
        <v>100.4</v>
      </c>
      <c r="M45" s="20" t="n">
        <v>77.02</v>
      </c>
      <c r="N45" s="21" t="n">
        <v>0.767131</v>
      </c>
      <c r="O45" s="20" t="n">
        <v>107.31</v>
      </c>
      <c r="P45" s="20" t="n">
        <v>82.31999999999999</v>
      </c>
      <c r="Q45" s="21" t="n">
        <v>0.767123</v>
      </c>
      <c r="R45" s="20" t="n">
        <v>101.48</v>
      </c>
      <c r="S45" s="20" t="n">
        <v>77.84999999999999</v>
      </c>
      <c r="T45" s="21" t="n">
        <v>0.767146</v>
      </c>
      <c r="U45" s="20" t="n">
        <v>114.34</v>
      </c>
      <c r="V45" s="20" t="n">
        <v>87.72</v>
      </c>
      <c r="W45" s="21" t="n">
        <v>0.767186</v>
      </c>
      <c r="X45" s="22" t="n">
        <v>513.54</v>
      </c>
      <c r="Y45" s="22" t="n">
        <v>393.96</v>
      </c>
      <c r="Z45" s="23" t="n">
        <v>0.767146</v>
      </c>
      <c r="AA45" s="23" t="n">
        <v>0.023219</v>
      </c>
    </row>
    <row r="46" ht="40" customHeight="1">
      <c r="A46" s="18" t="n">
        <v>42</v>
      </c>
      <c r="B46" s="18" t="inlineStr">
        <is>
          <t>Italy</t>
        </is>
      </c>
      <c r="C46" s="18" t="inlineStr">
        <is>
          <t>EUR</t>
        </is>
      </c>
      <c r="D46" s="18" t="inlineStr">
        <is>
          <t>MORETTI Elisa</t>
        </is>
      </c>
      <c r="E46" s="19" t="inlineStr">
        <is>
          <t>Kion Group AG</t>
        </is>
      </c>
      <c r="F46" s="18" t="inlineStr">
        <is>
          <t>PR76265 - Cloud Data Engineering - MORETTI Elisa - 2026</t>
        </is>
      </c>
      <c r="G46" s="19" t="inlineStr">
        <is>
          <t>SYSTEMATIC_HIGH</t>
        </is>
      </c>
      <c r="H46" s="19" t="inlineStr">
        <is>
          <t>All 5 months &gt;70% -&gt; likely missing cost</t>
        </is>
      </c>
      <c r="I46" s="20" t="n">
        <v>787.15</v>
      </c>
      <c r="J46" s="20" t="n">
        <v>600.4400000000001</v>
      </c>
      <c r="K46" s="21" t="n">
        <v>0.762798</v>
      </c>
      <c r="L46" s="20" t="n">
        <v>810.88</v>
      </c>
      <c r="M46" s="20" t="n">
        <v>618.54</v>
      </c>
      <c r="N46" s="21" t="n">
        <v>0.762798</v>
      </c>
      <c r="O46" s="20" t="n">
        <v>802.9</v>
      </c>
      <c r="P46" s="20" t="n">
        <v>612.4400000000001</v>
      </c>
      <c r="Q46" s="21" t="n">
        <v>0.762792</v>
      </c>
      <c r="R46" s="20" t="n">
        <v>771.8200000000001</v>
      </c>
      <c r="S46" s="20" t="n">
        <v>588.74</v>
      </c>
      <c r="T46" s="21" t="n">
        <v>0.7627930000000001</v>
      </c>
      <c r="U46" s="20" t="n">
        <v>844.14</v>
      </c>
      <c r="V46" s="20" t="n">
        <v>643.9</v>
      </c>
      <c r="W46" s="21" t="n">
        <v>0.762792</v>
      </c>
      <c r="X46" s="22" t="n">
        <v>4016.89</v>
      </c>
      <c r="Y46" s="22" t="n">
        <v>3064.06</v>
      </c>
      <c r="Z46" s="23" t="n">
        <v>0.762794</v>
      </c>
      <c r="AA46" s="24" t="n">
        <v>0.182009</v>
      </c>
    </row>
    <row r="47" ht="40" customHeight="1">
      <c r="A47" s="18" t="n">
        <v>43</v>
      </c>
      <c r="B47" s="18" t="inlineStr">
        <is>
          <t>Canada</t>
        </is>
      </c>
      <c r="C47" s="18" t="inlineStr">
        <is>
          <t>CAD</t>
        </is>
      </c>
      <c r="D47" s="18" t="inlineStr">
        <is>
          <t>MORIN Gabriel</t>
        </is>
      </c>
      <c r="E47" s="19" t="inlineStr">
        <is>
          <t>Target Corporation</t>
        </is>
      </c>
      <c r="F47" s="18" t="inlineStr">
        <is>
          <t>PR61029 - Application Support - MORIN Gabriel - 2026</t>
        </is>
      </c>
      <c r="G47" s="19" t="inlineStr">
        <is>
          <t>SYSTEMATIC_HIGH</t>
        </is>
      </c>
      <c r="H47" s="19" t="inlineStr">
        <is>
          <t>All 5 months &gt;70% -&gt; likely missing cost</t>
        </is>
      </c>
      <c r="I47" s="20" t="n">
        <v>49.75</v>
      </c>
      <c r="J47" s="20" t="n">
        <v>38.36</v>
      </c>
      <c r="K47" s="21" t="n">
        <v>0.771055</v>
      </c>
      <c r="L47" s="20" t="n">
        <v>56.12</v>
      </c>
      <c r="M47" s="20" t="n">
        <v>43.27</v>
      </c>
      <c r="N47" s="21" t="n">
        <v>0.771026</v>
      </c>
      <c r="O47" s="20" t="n">
        <v>52.95</v>
      </c>
      <c r="P47" s="20" t="n">
        <v>40.83</v>
      </c>
      <c r="Q47" s="21" t="n">
        <v>0.771105</v>
      </c>
      <c r="R47" s="20" t="n">
        <v>56.96</v>
      </c>
      <c r="S47" s="20" t="n">
        <v>43.92</v>
      </c>
      <c r="T47" s="21" t="n">
        <v>0.7710669999999999</v>
      </c>
      <c r="U47" s="20" t="n">
        <v>58.07</v>
      </c>
      <c r="V47" s="20" t="n">
        <v>44.77</v>
      </c>
      <c r="W47" s="21" t="n">
        <v>0.770966</v>
      </c>
      <c r="X47" s="22" t="n">
        <v>273.85</v>
      </c>
      <c r="Y47" s="22" t="n">
        <v>211.15</v>
      </c>
      <c r="Z47" s="23" t="n">
        <v>0.771043</v>
      </c>
      <c r="AA47" s="23" t="n">
        <v>0.023252</v>
      </c>
    </row>
    <row r="48" ht="40" customHeight="1">
      <c r="A48" s="18" t="n">
        <v>44</v>
      </c>
      <c r="B48" s="18" t="inlineStr">
        <is>
          <t>Spain</t>
        </is>
      </c>
      <c r="C48" s="18" t="inlineStr">
        <is>
          <t>EUR</t>
        </is>
      </c>
      <c r="D48" s="18" t="inlineStr">
        <is>
          <t>ORTEGA Hugo</t>
        </is>
      </c>
      <c r="E48" s="19" t="inlineStr">
        <is>
          <t>Magna International Inc.</t>
        </is>
      </c>
      <c r="F48" s="18" t="inlineStr">
        <is>
          <t>PR76708 - Project Management - ORTEGA Hugo - 2026</t>
        </is>
      </c>
      <c r="G48" s="19" t="inlineStr">
        <is>
          <t>SYSTEMATIC_HIGH</t>
        </is>
      </c>
      <c r="H48" s="19" t="inlineStr">
        <is>
          <t>All 5 months &gt;70% -&gt; likely missing cost</t>
        </is>
      </c>
      <c r="I48" s="20" t="n">
        <v>138.6</v>
      </c>
      <c r="J48" s="20" t="n">
        <v>113.38</v>
      </c>
      <c r="K48" s="21" t="n">
        <v>0.818062</v>
      </c>
      <c r="L48" s="20" t="n">
        <v>158.96</v>
      </c>
      <c r="M48" s="20" t="n">
        <v>130.03</v>
      </c>
      <c r="N48" s="21" t="n">
        <v>0.818004</v>
      </c>
      <c r="O48" s="20" t="n">
        <v>160.97</v>
      </c>
      <c r="P48" s="20" t="n">
        <v>131.67</v>
      </c>
      <c r="Q48" s="21" t="n">
        <v>0.818006</v>
      </c>
      <c r="R48" s="20" t="n">
        <v>155.65</v>
      </c>
      <c r="S48" s="20" t="n">
        <v>127.33</v>
      </c>
      <c r="T48" s="21" t="n">
        <v>0.818056</v>
      </c>
      <c r="U48" s="20" t="n">
        <v>162.19</v>
      </c>
      <c r="V48" s="20" t="n">
        <v>132.68</v>
      </c>
      <c r="W48" s="21" t="n">
        <v>0.818055</v>
      </c>
      <c r="X48" s="22" t="n">
        <v>776.37</v>
      </c>
      <c r="Y48" s="22" t="n">
        <v>635.09</v>
      </c>
      <c r="Z48" s="23" t="n">
        <v>0.818025</v>
      </c>
      <c r="AA48" s="23" t="n">
        <v>0.031126</v>
      </c>
    </row>
    <row r="49" ht="40" customHeight="1">
      <c r="A49" s="18" t="n">
        <v>45</v>
      </c>
      <c r="B49" s="18" t="inlineStr">
        <is>
          <t>Canada</t>
        </is>
      </c>
      <c r="C49" s="18" t="inlineStr">
        <is>
          <t>CAD</t>
        </is>
      </c>
      <c r="D49" s="18" t="inlineStr">
        <is>
          <t>OUELLETTE Emilie</t>
        </is>
      </c>
      <c r="E49" s="19" t="inlineStr">
        <is>
          <t>PwC</t>
        </is>
      </c>
      <c r="F49" s="18" t="inlineStr">
        <is>
          <t>PR61504 - Full Stack Development - OUELLETTE Emilie - 2026</t>
        </is>
      </c>
      <c r="G49" s="19" t="inlineStr">
        <is>
          <t>SYSTEMATIC_HIGH</t>
        </is>
      </c>
      <c r="H49" s="19" t="inlineStr">
        <is>
          <t>All 5 months &gt;70% -&gt; likely missing cost</t>
        </is>
      </c>
      <c r="I49" s="20" t="n">
        <v>134.76</v>
      </c>
      <c r="J49" s="20" t="n">
        <v>110.85</v>
      </c>
      <c r="K49" s="21" t="n">
        <v>0.822573</v>
      </c>
      <c r="L49" s="20" t="n">
        <v>136.2</v>
      </c>
      <c r="M49" s="20" t="n">
        <v>112.04</v>
      </c>
      <c r="N49" s="21" t="n">
        <v>0.822614</v>
      </c>
      <c r="O49" s="20" t="n">
        <v>154.88</v>
      </c>
      <c r="P49" s="20" t="n">
        <v>127.4</v>
      </c>
      <c r="Q49" s="21" t="n">
        <v>0.822572</v>
      </c>
      <c r="R49" s="20" t="n">
        <v>138.5</v>
      </c>
      <c r="S49" s="20" t="n">
        <v>113.93</v>
      </c>
      <c r="T49" s="21" t="n">
        <v>0.822599</v>
      </c>
      <c r="U49" s="20" t="n">
        <v>152.33</v>
      </c>
      <c r="V49" s="20" t="n">
        <v>125.31</v>
      </c>
      <c r="W49" s="21" t="n">
        <v>0.822622</v>
      </c>
      <c r="X49" s="22" t="n">
        <v>716.67</v>
      </c>
      <c r="Y49" s="22" t="n">
        <v>589.53</v>
      </c>
      <c r="Z49" s="23" t="n">
        <v>0.822596</v>
      </c>
      <c r="AA49" s="23" t="n">
        <v>0.024392</v>
      </c>
    </row>
    <row r="50" ht="40" customHeight="1">
      <c r="A50" s="18" t="n">
        <v>46</v>
      </c>
      <c r="B50" s="18" t="inlineStr">
        <is>
          <t>United States</t>
        </is>
      </c>
      <c r="C50" s="18" t="inlineStr">
        <is>
          <t>USD</t>
        </is>
      </c>
      <c r="D50" s="18" t="inlineStr">
        <is>
          <t>PARKER Liam</t>
        </is>
      </c>
      <c r="E50" s="19" t="inlineStr">
        <is>
          <t>FedEx Corporation</t>
        </is>
      </c>
      <c r="F50" s="18" t="inlineStr">
        <is>
          <t>PR76647 - Quality Assurance - PARKER Liam - 2026</t>
        </is>
      </c>
      <c r="G50" s="19" t="inlineStr">
        <is>
          <t>SYSTEMATIC_HIGH</t>
        </is>
      </c>
      <c r="H50" s="19" t="inlineStr">
        <is>
          <t>All 3 months &gt;70% -&gt; likely missing cost</t>
        </is>
      </c>
      <c r="I50" s="20" t="inlineStr"/>
      <c r="J50" s="20" t="inlineStr"/>
      <c r="K50" s="25" t="inlineStr"/>
      <c r="L50" s="20" t="inlineStr"/>
      <c r="M50" s="20" t="inlineStr"/>
      <c r="N50" s="25" t="inlineStr"/>
      <c r="O50" s="20" t="n">
        <v>1487.86</v>
      </c>
      <c r="P50" s="20" t="n">
        <v>1162.35</v>
      </c>
      <c r="Q50" s="21" t="n">
        <v>0.781219</v>
      </c>
      <c r="R50" s="20" t="n">
        <v>1528.89</v>
      </c>
      <c r="S50" s="20" t="n">
        <v>1194.4</v>
      </c>
      <c r="T50" s="21" t="n">
        <v>0.78122</v>
      </c>
      <c r="U50" s="20" t="n">
        <v>1762.99</v>
      </c>
      <c r="V50" s="20" t="n">
        <v>1377.29</v>
      </c>
      <c r="W50" s="21" t="n">
        <v>0.781223</v>
      </c>
      <c r="X50" s="22" t="n">
        <v>4779.74</v>
      </c>
      <c r="Y50" s="22" t="n">
        <v>3734.04</v>
      </c>
      <c r="Z50" s="23" t="n">
        <v>0.781222</v>
      </c>
      <c r="AA50" s="24" t="n">
        <v>0.130071</v>
      </c>
    </row>
    <row r="51" ht="40" customHeight="1">
      <c r="A51" s="18" t="n">
        <v>47</v>
      </c>
      <c r="B51" s="18" t="inlineStr">
        <is>
          <t>Spain</t>
        </is>
      </c>
      <c r="C51" s="18" t="inlineStr">
        <is>
          <t>EUR</t>
        </is>
      </c>
      <c r="D51" s="18" t="inlineStr">
        <is>
          <t>PEREZ Sofia</t>
        </is>
      </c>
      <c r="E51" s="19" t="inlineStr">
        <is>
          <t>KPMG International Cooperative</t>
        </is>
      </c>
      <c r="F51" s="18" t="inlineStr">
        <is>
          <t>PR71123 - ERP Integration - PEREZ Sofia - 2026</t>
        </is>
      </c>
      <c r="G51" s="19" t="inlineStr">
        <is>
          <t>SYSTEMATIC_HIGH</t>
        </is>
      </c>
      <c r="H51" s="19" t="inlineStr">
        <is>
          <t>All 5 months &gt;70% -&gt; likely missing cost</t>
        </is>
      </c>
      <c r="I51" s="20" t="n">
        <v>227.59</v>
      </c>
      <c r="J51" s="20" t="n">
        <v>180.1</v>
      </c>
      <c r="K51" s="21" t="n">
        <v>0.791335</v>
      </c>
      <c r="L51" s="20" t="n">
        <v>234.7</v>
      </c>
      <c r="M51" s="20" t="n">
        <v>185.73</v>
      </c>
      <c r="N51" s="21" t="n">
        <v>0.791351</v>
      </c>
      <c r="O51" s="20" t="n">
        <v>257.04</v>
      </c>
      <c r="P51" s="20" t="n">
        <v>203.41</v>
      </c>
      <c r="Q51" s="21" t="n">
        <v>0.791355</v>
      </c>
      <c r="R51" s="20" t="n">
        <v>243.81</v>
      </c>
      <c r="S51" s="20" t="n">
        <v>192.94</v>
      </c>
      <c r="T51" s="21" t="n">
        <v>0.791354</v>
      </c>
      <c r="U51" s="20" t="n">
        <v>260.77</v>
      </c>
      <c r="V51" s="20" t="n">
        <v>206.36</v>
      </c>
      <c r="W51" s="21" t="n">
        <v>0.791349</v>
      </c>
      <c r="X51" s="22" t="n">
        <v>1223.91</v>
      </c>
      <c r="Y51" s="22" t="n">
        <v>968.54</v>
      </c>
      <c r="Z51" s="23" t="n">
        <v>0.791349</v>
      </c>
      <c r="AA51" s="23" t="n">
        <v>0.085877</v>
      </c>
    </row>
    <row r="52" ht="40" customHeight="1">
      <c r="A52" s="18" t="n">
        <v>48</v>
      </c>
      <c r="B52" s="18" t="inlineStr">
        <is>
          <t>Thailand</t>
        </is>
      </c>
      <c r="C52" s="18" t="inlineStr">
        <is>
          <t>THB</t>
        </is>
      </c>
      <c r="D52" s="18" t="inlineStr">
        <is>
          <t>RATTANA Anong</t>
        </is>
      </c>
      <c r="E52" s="19" t="inlineStr">
        <is>
          <t>Stellantis N.V.</t>
        </is>
      </c>
      <c r="F52" s="18" t="inlineStr">
        <is>
          <t>PR76058 - Automation Engineering - RATTANA Anong - 2026</t>
        </is>
      </c>
      <c r="G52" s="19" t="inlineStr">
        <is>
          <t>SYSTEMATIC_HIGH</t>
        </is>
      </c>
      <c r="H52" s="19" t="inlineStr">
        <is>
          <t>All 5 months &gt;70% -&gt; likely missing cost</t>
        </is>
      </c>
      <c r="I52" s="20" t="n">
        <v>3801.92</v>
      </c>
      <c r="J52" s="20" t="n">
        <v>2960.37</v>
      </c>
      <c r="K52" s="21" t="n">
        <v>0.778652</v>
      </c>
      <c r="L52" s="20" t="n">
        <v>3937.87</v>
      </c>
      <c r="M52" s="20" t="n">
        <v>3066.23</v>
      </c>
      <c r="N52" s="21" t="n">
        <v>0.778652</v>
      </c>
      <c r="O52" s="20" t="n">
        <v>3898.79</v>
      </c>
      <c r="P52" s="20" t="n">
        <v>3035.8</v>
      </c>
      <c r="Q52" s="21" t="n">
        <v>0.778652</v>
      </c>
      <c r="R52" s="20" t="n">
        <v>3735.33</v>
      </c>
      <c r="S52" s="20" t="n">
        <v>2908.52</v>
      </c>
      <c r="T52" s="21" t="n">
        <v>0.778651</v>
      </c>
      <c r="U52" s="20" t="n">
        <v>4189.67</v>
      </c>
      <c r="V52" s="20" t="n">
        <v>3262.29</v>
      </c>
      <c r="W52" s="21" t="n">
        <v>0.778653</v>
      </c>
      <c r="X52" s="22" t="n">
        <v>19563.58</v>
      </c>
      <c r="Y52" s="22" t="n">
        <v>15233.21</v>
      </c>
      <c r="Z52" s="23" t="n">
        <v>0.778651</v>
      </c>
      <c r="AA52" s="23" t="n">
        <v>0.032762</v>
      </c>
    </row>
    <row r="53" ht="40" customHeight="1">
      <c r="A53" s="18" t="n">
        <v>49</v>
      </c>
      <c r="B53" s="18" t="inlineStr">
        <is>
          <t>Italy</t>
        </is>
      </c>
      <c r="C53" s="18" t="inlineStr">
        <is>
          <t>EUR</t>
        </is>
      </c>
      <c r="D53" s="18" t="inlineStr">
        <is>
          <t>RICCI Sofia</t>
        </is>
      </c>
      <c r="E53" s="19" t="inlineStr">
        <is>
          <t>Meta Platforms, Inc.</t>
        </is>
      </c>
      <c r="F53" s="18" t="inlineStr">
        <is>
          <t>PR76211 - Cloud Data Engineering - RICCI Sofia - 2026</t>
        </is>
      </c>
      <c r="G53" s="19" t="inlineStr">
        <is>
          <t>SYSTEMATIC_HIGH</t>
        </is>
      </c>
      <c r="H53" s="19" t="inlineStr">
        <is>
          <t>All 5 months &gt;70% -&gt; likely missing cost</t>
        </is>
      </c>
      <c r="I53" s="20" t="n">
        <v>687.17</v>
      </c>
      <c r="J53" s="20" t="n">
        <v>524.17</v>
      </c>
      <c r="K53" s="21" t="n">
        <v>0.762798</v>
      </c>
      <c r="L53" s="20" t="n">
        <v>707.89</v>
      </c>
      <c r="M53" s="20" t="n">
        <v>539.97</v>
      </c>
      <c r="N53" s="21" t="n">
        <v>0.762798</v>
      </c>
      <c r="O53" s="20" t="n">
        <v>700.91</v>
      </c>
      <c r="P53" s="20" t="n">
        <v>534.65</v>
      </c>
      <c r="Q53" s="21" t="n">
        <v>0.762792</v>
      </c>
      <c r="R53" s="20" t="n">
        <v>673.78</v>
      </c>
      <c r="S53" s="20" t="n">
        <v>513.95</v>
      </c>
      <c r="T53" s="21" t="n">
        <v>0.7627930000000001</v>
      </c>
      <c r="U53" s="20" t="n">
        <v>736.91</v>
      </c>
      <c r="V53" s="20" t="n">
        <v>562.11</v>
      </c>
      <c r="W53" s="21" t="n">
        <v>0.762792</v>
      </c>
      <c r="X53" s="22" t="n">
        <v>3506.66</v>
      </c>
      <c r="Y53" s="22" t="n">
        <v>2674.85</v>
      </c>
      <c r="Z53" s="23" t="n">
        <v>0.762791</v>
      </c>
      <c r="AA53" s="24" t="n">
        <v>0.182008</v>
      </c>
    </row>
    <row r="54" ht="40" customHeight="1">
      <c r="A54" s="18" t="n">
        <v>50</v>
      </c>
      <c r="B54" s="18" t="inlineStr">
        <is>
          <t>Italy</t>
        </is>
      </c>
      <c r="C54" s="18" t="inlineStr">
        <is>
          <t>EUR</t>
        </is>
      </c>
      <c r="D54" s="18" t="inlineStr">
        <is>
          <t>ROMANO Elena</t>
        </is>
      </c>
      <c r="E54" s="19" t="inlineStr">
        <is>
          <t>Uber Technologies, Inc.</t>
        </is>
      </c>
      <c r="F54" s="18" t="inlineStr">
        <is>
          <t>PR76193 - Cloud Data Engineering - ROMANO Elena - 2026</t>
        </is>
      </c>
      <c r="G54" s="19" t="inlineStr">
        <is>
          <t>SYSTEMATIC_HIGH</t>
        </is>
      </c>
      <c r="H54" s="19" t="inlineStr">
        <is>
          <t>All 5 months &gt;70% -&gt; likely missing cost</t>
        </is>
      </c>
      <c r="I54" s="20" t="n">
        <v>831.5599999999999</v>
      </c>
      <c r="J54" s="20" t="n">
        <v>634.3099999999999</v>
      </c>
      <c r="K54" s="21" t="n">
        <v>0.762798</v>
      </c>
      <c r="L54" s="20" t="n">
        <v>856.63</v>
      </c>
      <c r="M54" s="20" t="n">
        <v>653.4299999999999</v>
      </c>
      <c r="N54" s="21" t="n">
        <v>0.762798</v>
      </c>
      <c r="O54" s="20" t="n">
        <v>848.1900000000001</v>
      </c>
      <c r="P54" s="20" t="n">
        <v>646.99</v>
      </c>
      <c r="Q54" s="21" t="n">
        <v>0.762792</v>
      </c>
      <c r="R54" s="20" t="n">
        <v>815.35</v>
      </c>
      <c r="S54" s="20" t="n">
        <v>621.95</v>
      </c>
      <c r="T54" s="21" t="n">
        <v>0.7627930000000001</v>
      </c>
      <c r="U54" s="20" t="n">
        <v>891.76</v>
      </c>
      <c r="V54" s="20" t="n">
        <v>680.22</v>
      </c>
      <c r="W54" s="21" t="n">
        <v>0.762792</v>
      </c>
      <c r="X54" s="22" t="n">
        <v>4243.49</v>
      </c>
      <c r="Y54" s="22" t="n">
        <v>3236.9</v>
      </c>
      <c r="Z54" s="23" t="n">
        <v>0.762792</v>
      </c>
      <c r="AA54" s="24" t="n">
        <v>0.182009</v>
      </c>
    </row>
    <row r="55" ht="40" customHeight="1">
      <c r="A55" s="18" t="n">
        <v>51</v>
      </c>
      <c r="B55" s="18" t="inlineStr">
        <is>
          <t>Spain</t>
        </is>
      </c>
      <c r="C55" s="18" t="inlineStr">
        <is>
          <t>EUR</t>
        </is>
      </c>
      <c r="D55" s="18" t="inlineStr">
        <is>
          <t>RUIZ Clara</t>
        </is>
      </c>
      <c r="E55" s="19" t="inlineStr">
        <is>
          <t>HSBC Holdings plc</t>
        </is>
      </c>
      <c r="F55" s="18" t="inlineStr">
        <is>
          <t>PR71178 - Cybersecurity Operations - RUIZ Clara - 2026</t>
        </is>
      </c>
      <c r="G55" s="19" t="inlineStr">
        <is>
          <t>SYSTEMATIC_HIGH</t>
        </is>
      </c>
      <c r="H55" s="19" t="inlineStr">
        <is>
          <t>All 5 months &gt;70% -&gt; likely missing cost</t>
        </is>
      </c>
      <c r="I55" s="20" t="n">
        <v>1079.02</v>
      </c>
      <c r="J55" s="20" t="n">
        <v>914.72</v>
      </c>
      <c r="K55" s="21" t="n">
        <v>0.847732</v>
      </c>
      <c r="L55" s="20" t="n">
        <v>1209.62</v>
      </c>
      <c r="M55" s="20" t="n">
        <v>1025.43</v>
      </c>
      <c r="N55" s="21" t="n">
        <v>0.847729</v>
      </c>
      <c r="O55" s="20" t="n">
        <v>1314.14</v>
      </c>
      <c r="P55" s="20" t="n">
        <v>1114.04</v>
      </c>
      <c r="Q55" s="21" t="n">
        <v>0.847733</v>
      </c>
      <c r="R55" s="20" t="n">
        <v>1280.39</v>
      </c>
      <c r="S55" s="20" t="n">
        <v>1085.42</v>
      </c>
      <c r="T55" s="21" t="n">
        <v>0.847726</v>
      </c>
      <c r="U55" s="20" t="n">
        <v>1228.24</v>
      </c>
      <c r="V55" s="20" t="n">
        <v>1041.22</v>
      </c>
      <c r="W55" s="21" t="n">
        <v>0.847733</v>
      </c>
      <c r="X55" s="22" t="n">
        <v>6111.41</v>
      </c>
      <c r="Y55" s="22" t="n">
        <v>5180.83</v>
      </c>
      <c r="Z55" s="23" t="n">
        <v>0.847731</v>
      </c>
      <c r="AA55" s="24" t="n">
        <v>0.207335</v>
      </c>
    </row>
    <row r="56" ht="40" customHeight="1">
      <c r="A56" s="18" t="n">
        <v>52</v>
      </c>
      <c r="B56" s="18" t="inlineStr">
        <is>
          <t>Japan</t>
        </is>
      </c>
      <c r="C56" s="18" t="inlineStr">
        <is>
          <t>JPY</t>
        </is>
      </c>
      <c r="D56" s="18" t="inlineStr">
        <is>
          <t>SATO Haruto</t>
        </is>
      </c>
      <c r="E56" s="19" t="inlineStr">
        <is>
          <t>BASF SE</t>
        </is>
      </c>
      <c r="F56" s="18" t="inlineStr">
        <is>
          <t>PR74332 - Quality Assurance - SATO Haruto - 2026</t>
        </is>
      </c>
      <c r="G56" s="19" t="inlineStr">
        <is>
          <t>SYSTEMATIC_HIGH</t>
        </is>
      </c>
      <c r="H56" s="19" t="inlineStr">
        <is>
          <t>All 5 months &gt;70% -&gt; likely missing cost</t>
        </is>
      </c>
      <c r="I56" s="20" t="n">
        <v>968343.34</v>
      </c>
      <c r="J56" s="20" t="n">
        <v>706501.42</v>
      </c>
      <c r="K56" s="21" t="n">
        <v>0.729598</v>
      </c>
      <c r="L56" s="20" t="n">
        <v>964825.1899999999</v>
      </c>
      <c r="M56" s="20" t="n">
        <v>703934.58</v>
      </c>
      <c r="N56" s="21" t="n">
        <v>0.729598</v>
      </c>
      <c r="O56" s="20" t="n">
        <v>1071136.39</v>
      </c>
      <c r="P56" s="20" t="n">
        <v>781499.03</v>
      </c>
      <c r="Q56" s="21" t="n">
        <v>0.729598</v>
      </c>
      <c r="R56" s="20" t="n">
        <v>1042358.46</v>
      </c>
      <c r="S56" s="20" t="n">
        <v>760502.7</v>
      </c>
      <c r="T56" s="21" t="n">
        <v>0.729598</v>
      </c>
      <c r="U56" s="20" t="n">
        <v>1030959.75</v>
      </c>
      <c r="V56" s="20" t="n">
        <v>752186.23</v>
      </c>
      <c r="W56" s="21" t="n">
        <v>0.729598</v>
      </c>
      <c r="X56" s="22" t="n">
        <v>5077623.13</v>
      </c>
      <c r="Y56" s="22" t="n">
        <v>3704623.96</v>
      </c>
      <c r="Z56" s="23" t="n">
        <v>0.729598</v>
      </c>
      <c r="AA56" s="24" t="n">
        <v>0.492795</v>
      </c>
    </row>
    <row r="57" ht="40" customHeight="1">
      <c r="A57" s="18" t="n">
        <v>53</v>
      </c>
      <c r="B57" s="18" t="inlineStr">
        <is>
          <t>Japan</t>
        </is>
      </c>
      <c r="C57" s="18" t="inlineStr">
        <is>
          <t>JPY</t>
        </is>
      </c>
      <c r="D57" s="18" t="inlineStr">
        <is>
          <t>TANAKA Sota</t>
        </is>
      </c>
      <c r="E57" s="19" t="inlineStr">
        <is>
          <t>HSBC Holdings plc</t>
        </is>
      </c>
      <c r="F57" s="18" t="inlineStr">
        <is>
          <t>PR74348 - Cybersecurity Operations - TANAKA Sota - 2026</t>
        </is>
      </c>
      <c r="G57" s="19" t="inlineStr">
        <is>
          <t>SYSTEMATIC_HIGH</t>
        </is>
      </c>
      <c r="H57" s="19" t="inlineStr">
        <is>
          <t>All 5 months &gt;70% -&gt; likely missing cost</t>
        </is>
      </c>
      <c r="I57" s="20" t="n">
        <v>121259.2</v>
      </c>
      <c r="J57" s="20" t="n">
        <v>95951.07000000001</v>
      </c>
      <c r="K57" s="21" t="n">
        <v>0.791289</v>
      </c>
      <c r="L57" s="20" t="n">
        <v>131834.76</v>
      </c>
      <c r="M57" s="20" t="n">
        <v>104319.4</v>
      </c>
      <c r="N57" s="21" t="n">
        <v>0.791289</v>
      </c>
      <c r="O57" s="20" t="n">
        <v>134978.69</v>
      </c>
      <c r="P57" s="20" t="n">
        <v>106807.16</v>
      </c>
      <c r="Q57" s="21" t="n">
        <v>0.791289</v>
      </c>
      <c r="R57" s="20" t="n">
        <v>123785.44</v>
      </c>
      <c r="S57" s="20" t="n">
        <v>97950.06</v>
      </c>
      <c r="T57" s="21" t="n">
        <v>0.791289</v>
      </c>
      <c r="U57" s="20" t="n">
        <v>129902.77</v>
      </c>
      <c r="V57" s="20" t="n">
        <v>102790.64</v>
      </c>
      <c r="W57" s="21" t="n">
        <v>0.791289</v>
      </c>
      <c r="X57" s="22" t="n">
        <v>641760.86</v>
      </c>
      <c r="Y57" s="22" t="n">
        <v>507818.33</v>
      </c>
      <c r="Z57" s="23" t="n">
        <v>0.791289</v>
      </c>
      <c r="AA57" s="24" t="n">
        <v>0.13659</v>
      </c>
    </row>
    <row r="58" ht="40" customHeight="1">
      <c r="A58" s="18" t="n">
        <v>54</v>
      </c>
      <c r="B58" s="18" t="inlineStr">
        <is>
          <t>Japan</t>
        </is>
      </c>
      <c r="C58" s="18" t="inlineStr">
        <is>
          <t>JPY</t>
        </is>
      </c>
      <c r="D58" s="18" t="inlineStr">
        <is>
          <t>TANAKA Sota</t>
        </is>
      </c>
      <c r="E58" s="19" t="inlineStr">
        <is>
          <t>Kion Group AG</t>
        </is>
      </c>
      <c r="F58" s="18" t="inlineStr">
        <is>
          <t>PR74343 - Cloud Data Engineering - TANAKA Sota - 2026</t>
        </is>
      </c>
      <c r="G58" s="19" t="inlineStr">
        <is>
          <t>SYSTEMATIC_HIGH</t>
        </is>
      </c>
      <c r="H58" s="19" t="inlineStr">
        <is>
          <t>All 5 months &gt;70% -&gt; likely missing cost</t>
        </is>
      </c>
      <c r="I58" s="20" t="n">
        <v>152684.94</v>
      </c>
      <c r="J58" s="20" t="n">
        <v>121576.17</v>
      </c>
      <c r="K58" s="21" t="n">
        <v>0.796255</v>
      </c>
      <c r="L58" s="20" t="n">
        <v>166574.51</v>
      </c>
      <c r="M58" s="20" t="n">
        <v>132635.81</v>
      </c>
      <c r="N58" s="21" t="n">
        <v>0.796255</v>
      </c>
      <c r="O58" s="20" t="n">
        <v>174593.96</v>
      </c>
      <c r="P58" s="20" t="n">
        <v>139021.34</v>
      </c>
      <c r="Q58" s="21" t="n">
        <v>0.796255</v>
      </c>
      <c r="R58" s="20" t="n">
        <v>167600.93</v>
      </c>
      <c r="S58" s="20" t="n">
        <v>133453.1</v>
      </c>
      <c r="T58" s="21" t="n">
        <v>0.796255</v>
      </c>
      <c r="U58" s="20" t="n">
        <v>179717.04</v>
      </c>
      <c r="V58" s="20" t="n">
        <v>143100.62</v>
      </c>
      <c r="W58" s="21" t="n">
        <v>0.796255</v>
      </c>
      <c r="X58" s="22" t="n">
        <v>841171.38</v>
      </c>
      <c r="Y58" s="22" t="n">
        <v>669787.04</v>
      </c>
      <c r="Z58" s="23" t="n">
        <v>0.796255</v>
      </c>
      <c r="AA58" s="24" t="n">
        <v>0.180155</v>
      </c>
    </row>
    <row r="59" ht="40" customHeight="1">
      <c r="A59" s="18" t="n">
        <v>55</v>
      </c>
      <c r="B59" s="18" t="inlineStr">
        <is>
          <t>Canada</t>
        </is>
      </c>
      <c r="C59" s="18" t="inlineStr">
        <is>
          <t>CAD</t>
        </is>
      </c>
      <c r="D59" s="18" t="inlineStr">
        <is>
          <t>TREMBLAY Laurent</t>
        </is>
      </c>
      <c r="E59" s="19" t="inlineStr">
        <is>
          <t>PwC</t>
        </is>
      </c>
      <c r="F59" s="18" t="inlineStr">
        <is>
          <t>PR60287 - Application Support - TREMBLAY Laurent - 2026</t>
        </is>
      </c>
      <c r="G59" s="19" t="inlineStr">
        <is>
          <t>SYSTEMATIC_HIGH</t>
        </is>
      </c>
      <c r="H59" s="19" t="inlineStr">
        <is>
          <t>All 5 months &gt;70% -&gt; likely missing cost</t>
        </is>
      </c>
      <c r="I59" s="20" t="n">
        <v>321.74</v>
      </c>
      <c r="J59" s="20" t="n">
        <v>246.16</v>
      </c>
      <c r="K59" s="21" t="n">
        <v>0.76509</v>
      </c>
      <c r="L59" s="20" t="n">
        <v>350.1</v>
      </c>
      <c r="M59" s="20" t="n">
        <v>267.86</v>
      </c>
      <c r="N59" s="21" t="n">
        <v>0.765096</v>
      </c>
      <c r="O59" s="20" t="n">
        <v>376.62</v>
      </c>
      <c r="P59" s="20" t="n">
        <v>288.15</v>
      </c>
      <c r="Q59" s="21" t="n">
        <v>0.765095</v>
      </c>
      <c r="R59" s="20" t="n">
        <v>364.86</v>
      </c>
      <c r="S59" s="20" t="n">
        <v>279.15</v>
      </c>
      <c r="T59" s="21" t="n">
        <v>0.765088</v>
      </c>
      <c r="U59" s="20" t="n">
        <v>373.74</v>
      </c>
      <c r="V59" s="20" t="n">
        <v>285.95</v>
      </c>
      <c r="W59" s="21" t="n">
        <v>0.765104</v>
      </c>
      <c r="X59" s="22" t="n">
        <v>1787.06</v>
      </c>
      <c r="Y59" s="22" t="n">
        <v>1367.27</v>
      </c>
      <c r="Z59" s="23" t="n">
        <v>0.765095</v>
      </c>
      <c r="AA59" s="23" t="n">
        <v>0.02482</v>
      </c>
    </row>
    <row r="60" ht="40" customHeight="1">
      <c r="A60" s="18" t="n">
        <v>56</v>
      </c>
      <c r="B60" s="18" t="inlineStr">
        <is>
          <t>Canada</t>
        </is>
      </c>
      <c r="C60" s="18" t="inlineStr">
        <is>
          <t>CAD</t>
        </is>
      </c>
      <c r="D60" s="18" t="inlineStr">
        <is>
          <t>TREMBLAY Laurent</t>
        </is>
      </c>
      <c r="E60" s="19" t="inlineStr">
        <is>
          <t>PwC</t>
        </is>
      </c>
      <c r="F60" s="18" t="inlineStr">
        <is>
          <t>PR60295 - Full Stack Development - TREMBLAY Laurent - 2026</t>
        </is>
      </c>
      <c r="G60" s="19" t="inlineStr">
        <is>
          <t>SYSTEMATIC_HIGH</t>
        </is>
      </c>
      <c r="H60" s="19" t="inlineStr">
        <is>
          <t>All 5 months &gt;70% -&gt; likely missing cost</t>
        </is>
      </c>
      <c r="I60" s="20" t="n">
        <v>308.34</v>
      </c>
      <c r="J60" s="20" t="n">
        <v>258.8</v>
      </c>
      <c r="K60" s="21" t="n">
        <v>0.839333</v>
      </c>
      <c r="L60" s="20" t="n">
        <v>366.11</v>
      </c>
      <c r="M60" s="20" t="n">
        <v>307.29</v>
      </c>
      <c r="N60" s="21" t="n">
        <v>0.839338</v>
      </c>
      <c r="O60" s="20" t="n">
        <v>377.65</v>
      </c>
      <c r="P60" s="20" t="n">
        <v>316.97</v>
      </c>
      <c r="Q60" s="21" t="n">
        <v>0.839322</v>
      </c>
      <c r="R60" s="20" t="n">
        <v>360.48</v>
      </c>
      <c r="S60" s="20" t="n">
        <v>302.56</v>
      </c>
      <c r="T60" s="21" t="n">
        <v>0.839325</v>
      </c>
      <c r="U60" s="20" t="n">
        <v>362.78</v>
      </c>
      <c r="V60" s="20" t="n">
        <v>304.49</v>
      </c>
      <c r="W60" s="21" t="n">
        <v>0.839324</v>
      </c>
      <c r="X60" s="22" t="n">
        <v>1775.36</v>
      </c>
      <c r="Y60" s="22" t="n">
        <v>1490.11</v>
      </c>
      <c r="Z60" s="23" t="n">
        <v>0.839328</v>
      </c>
      <c r="AA60" s="23" t="n">
        <v>0.02705</v>
      </c>
    </row>
    <row r="61" ht="40" customHeight="1">
      <c r="A61" s="18" t="n">
        <v>57</v>
      </c>
      <c r="B61" s="18" t="inlineStr">
        <is>
          <t>Spain</t>
        </is>
      </c>
      <c r="C61" s="18" t="inlineStr">
        <is>
          <t>EUR</t>
        </is>
      </c>
      <c r="D61" s="18" t="inlineStr">
        <is>
          <t>VEGA Raul</t>
        </is>
      </c>
      <c r="E61" s="19" t="inlineStr">
        <is>
          <t>Apple Inc.</t>
        </is>
      </c>
      <c r="F61" s="18" t="inlineStr">
        <is>
          <t>PR76730 - Application Support - VEGA Raul - 2026</t>
        </is>
      </c>
      <c r="G61" s="19" t="inlineStr">
        <is>
          <t>SYSTEMATIC_HIGH</t>
        </is>
      </c>
      <c r="H61" s="19" t="inlineStr">
        <is>
          <t>All 5 months &gt;70% -&gt; likely missing cost</t>
        </is>
      </c>
      <c r="I61" s="20" t="n">
        <v>883.71</v>
      </c>
      <c r="J61" s="20" t="n">
        <v>702.3200000000001</v>
      </c>
      <c r="K61" s="21" t="n">
        <v>0.794732</v>
      </c>
      <c r="L61" s="20" t="n">
        <v>942.99</v>
      </c>
      <c r="M61" s="20" t="n">
        <v>749.42</v>
      </c>
      <c r="N61" s="21" t="n">
        <v>0.794731</v>
      </c>
      <c r="O61" s="20" t="n">
        <v>977.41</v>
      </c>
      <c r="P61" s="20" t="n">
        <v>776.78</v>
      </c>
      <c r="Q61" s="21" t="n">
        <v>0.794731</v>
      </c>
      <c r="R61" s="20" t="n">
        <v>916.75</v>
      </c>
      <c r="S61" s="20" t="n">
        <v>728.5599999999999</v>
      </c>
      <c r="T61" s="21" t="n">
        <v>0.794721</v>
      </c>
      <c r="U61" s="20" t="n">
        <v>1036.62</v>
      </c>
      <c r="V61" s="20" t="n">
        <v>823.83</v>
      </c>
      <c r="W61" s="21" t="n">
        <v>0.794728</v>
      </c>
      <c r="X61" s="22" t="n">
        <v>4757.48</v>
      </c>
      <c r="Y61" s="22" t="n">
        <v>3780.91</v>
      </c>
      <c r="Z61" s="23" t="n">
        <v>0.79473</v>
      </c>
      <c r="AA61" s="24" t="n">
        <v>0.253812</v>
      </c>
    </row>
    <row r="62" ht="40" customHeight="1">
      <c r="A62" s="18" t="n">
        <v>58</v>
      </c>
      <c r="B62" s="18" t="inlineStr">
        <is>
          <t>Spain</t>
        </is>
      </c>
      <c r="C62" s="18" t="inlineStr">
        <is>
          <t>EUR</t>
        </is>
      </c>
      <c r="D62" s="18" t="inlineStr">
        <is>
          <t>VEGA Raul</t>
        </is>
      </c>
      <c r="E62" s="19" t="inlineStr">
        <is>
          <t>UBS Group AG</t>
        </is>
      </c>
      <c r="F62" s="18" t="inlineStr">
        <is>
          <t>PR76727 - Project Management - VEGA Raul - 2026</t>
        </is>
      </c>
      <c r="G62" s="19" t="inlineStr">
        <is>
          <t>SYSTEMATIC_HIGH</t>
        </is>
      </c>
      <c r="H62" s="19" t="inlineStr">
        <is>
          <t>All 5 months &gt;70% -&gt; likely missing cost</t>
        </is>
      </c>
      <c r="I62" s="20" t="n">
        <v>863.25</v>
      </c>
      <c r="J62" s="20" t="n">
        <v>634.78</v>
      </c>
      <c r="K62" s="21" t="n">
        <v>0.7353460000000001</v>
      </c>
      <c r="L62" s="20" t="n">
        <v>905.1900000000001</v>
      </c>
      <c r="M62" s="20" t="n">
        <v>665.62</v>
      </c>
      <c r="N62" s="21" t="n">
        <v>0.735345</v>
      </c>
      <c r="O62" s="20" t="n">
        <v>1010.73</v>
      </c>
      <c r="P62" s="20" t="n">
        <v>743.24</v>
      </c>
      <c r="Q62" s="21" t="n">
        <v>0.735352</v>
      </c>
      <c r="R62" s="20" t="n">
        <v>929.46</v>
      </c>
      <c r="S62" s="20" t="n">
        <v>683.47</v>
      </c>
      <c r="T62" s="21" t="n">
        <v>0.735347</v>
      </c>
      <c r="U62" s="20" t="n">
        <v>972.6799999999999</v>
      </c>
      <c r="V62" s="20" t="n">
        <v>715.25</v>
      </c>
      <c r="W62" s="21" t="n">
        <v>0.7353460000000001</v>
      </c>
      <c r="X62" s="22" t="n">
        <v>4681.31</v>
      </c>
      <c r="Y62" s="22" t="n">
        <v>3442.36</v>
      </c>
      <c r="Z62" s="23" t="n">
        <v>0.735341</v>
      </c>
      <c r="AA62" s="24" t="n">
        <v>0.231085</v>
      </c>
    </row>
    <row r="63" ht="40" customHeight="1">
      <c r="A63" s="18" t="n">
        <v>59</v>
      </c>
      <c r="B63" s="18" t="inlineStr">
        <is>
          <t>Japan</t>
        </is>
      </c>
      <c r="C63" s="18" t="inlineStr">
        <is>
          <t>JPY</t>
        </is>
      </c>
      <c r="D63" s="18" t="inlineStr">
        <is>
          <t>WATANABE Ren</t>
        </is>
      </c>
      <c r="E63" s="19" t="inlineStr">
        <is>
          <t>Honda Motor Co., Ltd.</t>
        </is>
      </c>
      <c r="F63" s="18" t="inlineStr">
        <is>
          <t>PR74426 - Business Analysis - WATANABE Ren - 2026</t>
        </is>
      </c>
      <c r="G63" s="19" t="inlineStr">
        <is>
          <t>SYSTEMATIC_HIGH</t>
        </is>
      </c>
      <c r="H63" s="19" t="inlineStr">
        <is>
          <t>All 5 months &gt;70% -&gt; likely missing cost</t>
        </is>
      </c>
      <c r="I63" s="20" t="n">
        <v>32209.08</v>
      </c>
      <c r="J63" s="20" t="n">
        <v>26395.26</v>
      </c>
      <c r="K63" s="21" t="n">
        <v>0.819497</v>
      </c>
      <c r="L63" s="20" t="n">
        <v>30583.01</v>
      </c>
      <c r="M63" s="20" t="n">
        <v>25062.7</v>
      </c>
      <c r="N63" s="21" t="n">
        <v>0.819497</v>
      </c>
      <c r="O63" s="20" t="n">
        <v>35900.24</v>
      </c>
      <c r="P63" s="20" t="n">
        <v>29420.16</v>
      </c>
      <c r="Q63" s="21" t="n">
        <v>0.8194979999999999</v>
      </c>
      <c r="R63" s="20" t="n">
        <v>33572.69</v>
      </c>
      <c r="S63" s="20" t="n">
        <v>27512.74</v>
      </c>
      <c r="T63" s="21" t="n">
        <v>0.8194979999999999</v>
      </c>
      <c r="U63" s="20" t="n">
        <v>34868.06</v>
      </c>
      <c r="V63" s="20" t="n">
        <v>28574.29</v>
      </c>
      <c r="W63" s="21" t="n">
        <v>0.8194979999999999</v>
      </c>
      <c r="X63" s="22" t="n">
        <v>167133.08</v>
      </c>
      <c r="Y63" s="22" t="n">
        <v>136965.15</v>
      </c>
      <c r="Z63" s="23" t="n">
        <v>0.8194979999999999</v>
      </c>
      <c r="AA63" s="23" t="n">
        <v>0.062611</v>
      </c>
    </row>
    <row r="64" ht="40" customHeight="1">
      <c r="A64" s="18" t="n">
        <v>60</v>
      </c>
      <c r="B64" s="18" t="inlineStr">
        <is>
          <t>Japan</t>
        </is>
      </c>
      <c r="C64" s="18" t="inlineStr">
        <is>
          <t>JPY</t>
        </is>
      </c>
      <c r="D64" s="18" t="inlineStr">
        <is>
          <t>WATANABE Ren</t>
        </is>
      </c>
      <c r="E64" s="19" t="inlineStr">
        <is>
          <t>Nestlé S.A.</t>
        </is>
      </c>
      <c r="F64" s="18" t="inlineStr">
        <is>
          <t>PR74433 - ERP Integration - WATANABE Ren - 2026</t>
        </is>
      </c>
      <c r="G64" s="19" t="inlineStr">
        <is>
          <t>SYSTEMATIC_HIGH</t>
        </is>
      </c>
      <c r="H64" s="19" t="inlineStr">
        <is>
          <t>All 5 months &gt;70% -&gt; likely missing cost</t>
        </is>
      </c>
      <c r="I64" s="20" t="n">
        <v>30161</v>
      </c>
      <c r="J64" s="20" t="n">
        <v>25507.16</v>
      </c>
      <c r="K64" s="21" t="n">
        <v>0.8457</v>
      </c>
      <c r="L64" s="20" t="n">
        <v>32374.97</v>
      </c>
      <c r="M64" s="20" t="n">
        <v>27379.51</v>
      </c>
      <c r="N64" s="21" t="n">
        <v>0.8457</v>
      </c>
      <c r="O64" s="20" t="n">
        <v>32759.74</v>
      </c>
      <c r="P64" s="20" t="n">
        <v>27704.91</v>
      </c>
      <c r="Q64" s="21" t="n">
        <v>0.8457</v>
      </c>
      <c r="R64" s="20" t="n">
        <v>31763.06</v>
      </c>
      <c r="S64" s="20" t="n">
        <v>26862.02</v>
      </c>
      <c r="T64" s="21" t="n">
        <v>0.8457</v>
      </c>
      <c r="U64" s="20" t="n">
        <v>32786.12</v>
      </c>
      <c r="V64" s="20" t="n">
        <v>27727.22</v>
      </c>
      <c r="W64" s="21" t="n">
        <v>0.8457</v>
      </c>
      <c r="X64" s="22" t="n">
        <v>159844.89</v>
      </c>
      <c r="Y64" s="22" t="n">
        <v>135180.82</v>
      </c>
      <c r="Z64" s="23" t="n">
        <v>0.8457</v>
      </c>
      <c r="AA64" s="23" t="n">
        <v>0.061796</v>
      </c>
    </row>
    <row r="65" ht="40" customHeight="1">
      <c r="A65" s="18" t="n">
        <v>61</v>
      </c>
      <c r="B65" s="18" t="inlineStr">
        <is>
          <t>United States</t>
        </is>
      </c>
      <c r="C65" s="18" t="inlineStr">
        <is>
          <t>USD</t>
        </is>
      </c>
      <c r="D65" s="18" t="inlineStr">
        <is>
          <t>WHITE Grace</t>
        </is>
      </c>
      <c r="E65" s="19" t="inlineStr">
        <is>
          <t>Alphabet Inc.</t>
        </is>
      </c>
      <c r="F65" s="18" t="inlineStr">
        <is>
          <t>PR70518 - IT Service Management - WHITE Grace - 2026</t>
        </is>
      </c>
      <c r="G65" s="19" t="inlineStr">
        <is>
          <t>SYSTEMATIC_HIGH</t>
        </is>
      </c>
      <c r="H65" s="19" t="inlineStr">
        <is>
          <t>All 5 months &gt;70% -&gt; likely missing cost</t>
        </is>
      </c>
      <c r="I65" s="20" t="n">
        <v>599.27</v>
      </c>
      <c r="J65" s="20" t="n">
        <v>488.78</v>
      </c>
      <c r="K65" s="21" t="n">
        <v>0.815626</v>
      </c>
      <c r="L65" s="20" t="n">
        <v>678.53</v>
      </c>
      <c r="M65" s="20" t="n">
        <v>553.4299999999999</v>
      </c>
      <c r="N65" s="21" t="n">
        <v>0.815631</v>
      </c>
      <c r="O65" s="20" t="n">
        <v>693.41</v>
      </c>
      <c r="P65" s="20" t="n">
        <v>565.5700000000001</v>
      </c>
      <c r="Q65" s="21" t="n">
        <v>0.815636</v>
      </c>
      <c r="R65" s="20" t="n">
        <v>665.95</v>
      </c>
      <c r="S65" s="20" t="n">
        <v>543.17</v>
      </c>
      <c r="T65" s="21" t="n">
        <v>0.815632</v>
      </c>
      <c r="U65" s="20" t="n">
        <v>750.02</v>
      </c>
      <c r="V65" s="20" t="n">
        <v>611.74</v>
      </c>
      <c r="W65" s="21" t="n">
        <v>0.815632</v>
      </c>
      <c r="X65" s="22" t="n">
        <v>3387.18</v>
      </c>
      <c r="Y65" s="22" t="n">
        <v>2762.69</v>
      </c>
      <c r="Z65" s="23" t="n">
        <v>0.815631</v>
      </c>
      <c r="AA65" s="24" t="n">
        <v>0.129549</v>
      </c>
    </row>
    <row r="66" ht="40" customHeight="1">
      <c r="A66" s="18" t="n">
        <v>62</v>
      </c>
      <c r="B66" s="18" t="inlineStr">
        <is>
          <t>United States</t>
        </is>
      </c>
      <c r="C66" s="18" t="inlineStr">
        <is>
          <t>USD</t>
        </is>
      </c>
      <c r="D66" s="18" t="inlineStr">
        <is>
          <t>WHITE Grace</t>
        </is>
      </c>
      <c r="E66" s="19" t="inlineStr">
        <is>
          <t>Alphabet Inc.</t>
        </is>
      </c>
      <c r="F66" s="18" t="inlineStr">
        <is>
          <t>PR70519 - DevOps Engineering - WHITE Grace - 2026</t>
        </is>
      </c>
      <c r="G66" s="19" t="inlineStr">
        <is>
          <t>SYSTEMATIC_HIGH</t>
        </is>
      </c>
      <c r="H66" s="19" t="inlineStr">
        <is>
          <t>All 5 months &gt;70% -&gt; likely missing cost</t>
        </is>
      </c>
      <c r="I66" s="20" t="n">
        <v>729.1799999999999</v>
      </c>
      <c r="J66" s="20" t="n">
        <v>572.79</v>
      </c>
      <c r="K66" s="21" t="n">
        <v>0.7855259999999999</v>
      </c>
      <c r="L66" s="20" t="n">
        <v>755.75</v>
      </c>
      <c r="M66" s="20" t="n">
        <v>593.66</v>
      </c>
      <c r="N66" s="21" t="n">
        <v>0.785524</v>
      </c>
      <c r="O66" s="20" t="n">
        <v>778.78</v>
      </c>
      <c r="P66" s="20" t="n">
        <v>611.75</v>
      </c>
      <c r="Q66" s="21" t="n">
        <v>0.785524</v>
      </c>
      <c r="R66" s="20" t="n">
        <v>742.22</v>
      </c>
      <c r="S66" s="20" t="n">
        <v>583.03</v>
      </c>
      <c r="T66" s="21" t="n">
        <v>0.7855220000000001</v>
      </c>
      <c r="U66" s="20" t="n">
        <v>787.88</v>
      </c>
      <c r="V66" s="20" t="n">
        <v>618.9</v>
      </c>
      <c r="W66" s="21" t="n">
        <v>0.7855259999999999</v>
      </c>
      <c r="X66" s="22" t="n">
        <v>3793.81</v>
      </c>
      <c r="Y66" s="22" t="n">
        <v>2980.13</v>
      </c>
      <c r="Z66" s="23" t="n">
        <v>0.785524</v>
      </c>
      <c r="AA66" s="24" t="n">
        <v>0.139745</v>
      </c>
    </row>
    <row r="67" ht="40" customHeight="1">
      <c r="A67" s="18" t="n">
        <v>63</v>
      </c>
      <c r="B67" s="18" t="inlineStr">
        <is>
          <t>United States</t>
        </is>
      </c>
      <c r="C67" s="18" t="inlineStr">
        <is>
          <t>USD</t>
        </is>
      </c>
      <c r="D67" s="18" t="inlineStr">
        <is>
          <t>WILSON Ava</t>
        </is>
      </c>
      <c r="E67" s="19" t="inlineStr">
        <is>
          <t>PepsiCo, Inc.</t>
        </is>
      </c>
      <c r="F67" s="18" t="inlineStr">
        <is>
          <t>PR70405 - DevOps Engineering - WILSON Ava - 2026</t>
        </is>
      </c>
      <c r="G67" s="19" t="inlineStr">
        <is>
          <t>SYSTEMATIC_HIGH</t>
        </is>
      </c>
      <c r="H67" s="19" t="inlineStr">
        <is>
          <t>All 5 months &gt;70% -&gt; likely missing cost</t>
        </is>
      </c>
      <c r="I67" s="20" t="n">
        <v>1173.41</v>
      </c>
      <c r="J67" s="20" t="n">
        <v>853.8200000000001</v>
      </c>
      <c r="K67" s="21" t="n">
        <v>0.72764</v>
      </c>
      <c r="L67" s="20" t="n">
        <v>1200.6</v>
      </c>
      <c r="M67" s="20" t="n">
        <v>873.6</v>
      </c>
      <c r="N67" s="21" t="n">
        <v>0.7276359999999999</v>
      </c>
      <c r="O67" s="20" t="n">
        <v>1331.73</v>
      </c>
      <c r="P67" s="20" t="n">
        <v>969.02</v>
      </c>
      <c r="Q67" s="21" t="n">
        <v>0.72764</v>
      </c>
      <c r="R67" s="20" t="n">
        <v>1233.06</v>
      </c>
      <c r="S67" s="20" t="n">
        <v>897.22</v>
      </c>
      <c r="T67" s="21" t="n">
        <v>0.727637</v>
      </c>
      <c r="U67" s="20" t="n">
        <v>1416.23</v>
      </c>
      <c r="V67" s="20" t="n">
        <v>1030.5</v>
      </c>
      <c r="W67" s="21" t="n">
        <v>0.7276359999999999</v>
      </c>
      <c r="X67" s="22" t="n">
        <v>6355.03</v>
      </c>
      <c r="Y67" s="22" t="n">
        <v>4624.16</v>
      </c>
      <c r="Z67" s="23" t="n">
        <v>0.727638</v>
      </c>
      <c r="AA67" s="24" t="n">
        <v>0.104107</v>
      </c>
    </row>
    <row r="68" ht="40" customHeight="1">
      <c r="A68" s="18" t="n">
        <v>64</v>
      </c>
      <c r="B68" s="18" t="inlineStr">
        <is>
          <t>Thailand</t>
        </is>
      </c>
      <c r="C68" s="18" t="inlineStr">
        <is>
          <t>THB</t>
        </is>
      </c>
      <c r="D68" s="18" t="inlineStr">
        <is>
          <t>WONGSA Kanya</t>
        </is>
      </c>
      <c r="E68" s="19" t="inlineStr">
        <is>
          <t>PepsiCo, Inc.</t>
        </is>
      </c>
      <c r="F68" s="18" t="inlineStr">
        <is>
          <t>PR52803 - DevOps Engineering - WONGSA Kanya - 2026</t>
        </is>
      </c>
      <c r="G68" s="19" t="inlineStr">
        <is>
          <t>SYSTEMATIC_HIGH</t>
        </is>
      </c>
      <c r="H68" s="19" t="inlineStr">
        <is>
          <t>All 5 months &gt;70% -&gt; likely missing cost</t>
        </is>
      </c>
      <c r="I68" s="20" t="n">
        <v>18860.94</v>
      </c>
      <c r="J68" s="20" t="n">
        <v>14228.77</v>
      </c>
      <c r="K68" s="21" t="n">
        <v>0.754404</v>
      </c>
      <c r="L68" s="20" t="n">
        <v>21738.6</v>
      </c>
      <c r="M68" s="20" t="n">
        <v>16399.69</v>
      </c>
      <c r="N68" s="21" t="n">
        <v>0.754404</v>
      </c>
      <c r="O68" s="20" t="n">
        <v>21220.4</v>
      </c>
      <c r="P68" s="20" t="n">
        <v>16008.76</v>
      </c>
      <c r="Q68" s="21" t="n">
        <v>0.754404</v>
      </c>
      <c r="R68" s="20" t="n">
        <v>22144.04</v>
      </c>
      <c r="S68" s="20" t="n">
        <v>16705.56</v>
      </c>
      <c r="T68" s="21" t="n">
        <v>0.754404</v>
      </c>
      <c r="U68" s="20" t="n">
        <v>22670.45</v>
      </c>
      <c r="V68" s="20" t="n">
        <v>17102.68</v>
      </c>
      <c r="W68" s="21" t="n">
        <v>0.754404</v>
      </c>
      <c r="X68" s="22" t="n">
        <v>106634.43</v>
      </c>
      <c r="Y68" s="22" t="n">
        <v>80445.46000000001</v>
      </c>
      <c r="Z68" s="23" t="n">
        <v>0.754404</v>
      </c>
      <c r="AA68" s="23" t="n">
        <v>0.091583</v>
      </c>
    </row>
    <row r="69" ht="40" customHeight="1">
      <c r="A69" s="18" t="n">
        <v>65</v>
      </c>
      <c r="B69" s="18" t="inlineStr">
        <is>
          <t>China</t>
        </is>
      </c>
      <c r="C69" s="18" t="inlineStr">
        <is>
          <t>CNY</t>
        </is>
      </c>
      <c r="D69" s="18" t="inlineStr">
        <is>
          <t>WU Jing</t>
        </is>
      </c>
      <c r="E69" s="19" t="inlineStr">
        <is>
          <t>BASF SE</t>
        </is>
      </c>
      <c r="F69" s="18" t="inlineStr">
        <is>
          <t>PR70068 - Quality Assurance - WU Jing - 2026</t>
        </is>
      </c>
      <c r="G69" s="19" t="inlineStr">
        <is>
          <t>SYSTEMATIC_HIGH</t>
        </is>
      </c>
      <c r="H69" s="19" t="inlineStr">
        <is>
          <t>All 5 months &gt;70% -&gt; likely missing cost</t>
        </is>
      </c>
      <c r="I69" s="20" t="n">
        <v>3805.56</v>
      </c>
      <c r="J69" s="20" t="n">
        <v>2845.31</v>
      </c>
      <c r="K69" s="21" t="n">
        <v>0.747672</v>
      </c>
      <c r="L69" s="20" t="n">
        <v>4312</v>
      </c>
      <c r="M69" s="20" t="n">
        <v>3223.96</v>
      </c>
      <c r="N69" s="21" t="n">
        <v>0.747672</v>
      </c>
      <c r="O69" s="20" t="n">
        <v>4454.43</v>
      </c>
      <c r="P69" s="20" t="n">
        <v>3330.45</v>
      </c>
      <c r="Q69" s="21" t="n">
        <v>0.747671</v>
      </c>
      <c r="R69" s="20" t="n">
        <v>4158.51</v>
      </c>
      <c r="S69" s="20" t="n">
        <v>3109.2</v>
      </c>
      <c r="T69" s="21" t="n">
        <v>0.747672</v>
      </c>
      <c r="U69" s="20" t="n">
        <v>4257.74</v>
      </c>
      <c r="V69" s="20" t="n">
        <v>3183.39</v>
      </c>
      <c r="W69" s="21" t="n">
        <v>0.747671</v>
      </c>
      <c r="X69" s="22" t="n">
        <v>20988.24</v>
      </c>
      <c r="Y69" s="22" t="n">
        <v>15692.31</v>
      </c>
      <c r="Z69" s="23" t="n">
        <v>0.747672</v>
      </c>
      <c r="AA69" s="24" t="n">
        <v>0.492709</v>
      </c>
    </row>
    <row r="70" ht="40" customHeight="1">
      <c r="A70" s="18" t="n">
        <v>66</v>
      </c>
      <c r="B70" s="18" t="inlineStr">
        <is>
          <t>Japan</t>
        </is>
      </c>
      <c r="C70" s="18" t="inlineStr">
        <is>
          <t>JPY</t>
        </is>
      </c>
      <c r="D70" s="18" t="inlineStr">
        <is>
          <t>YAMAMOTO Aoi</t>
        </is>
      </c>
      <c r="E70" s="19" t="inlineStr">
        <is>
          <t>Mitsubishi Heavy Industries, Ltd.</t>
        </is>
      </c>
      <c r="F70" s="18" t="inlineStr">
        <is>
          <t>PR74397 - Cloud Data Engineering - YAMAMOTO Aoi - 2026</t>
        </is>
      </c>
      <c r="G70" s="19" t="inlineStr">
        <is>
          <t>SYSTEMATIC_HIGH</t>
        </is>
      </c>
      <c r="H70" s="19" t="inlineStr">
        <is>
          <t>All 5 months &gt;70% -&gt; likely missing cost</t>
        </is>
      </c>
      <c r="I70" s="20" t="n">
        <v>7836.46</v>
      </c>
      <c r="J70" s="20" t="n">
        <v>6552.58</v>
      </c>
      <c r="K70" s="21" t="n">
        <v>0.836166</v>
      </c>
      <c r="L70" s="20" t="n">
        <v>8271.379999999999</v>
      </c>
      <c r="M70" s="20" t="n">
        <v>6916.24</v>
      </c>
      <c r="N70" s="21" t="n">
        <v>0.836165</v>
      </c>
      <c r="O70" s="20" t="n">
        <v>8143.06</v>
      </c>
      <c r="P70" s="20" t="n">
        <v>6808.94</v>
      </c>
      <c r="Q70" s="21" t="n">
        <v>0.836165</v>
      </c>
      <c r="R70" s="20" t="n">
        <v>8032.2</v>
      </c>
      <c r="S70" s="20" t="n">
        <v>6716.25</v>
      </c>
      <c r="T70" s="21" t="n">
        <v>0.836166</v>
      </c>
      <c r="U70" s="20" t="n">
        <v>8846.92</v>
      </c>
      <c r="V70" s="20" t="n">
        <v>7397.49</v>
      </c>
      <c r="W70" s="21" t="n">
        <v>0.836166</v>
      </c>
      <c r="X70" s="22" t="n">
        <v>41130.02</v>
      </c>
      <c r="Y70" s="22" t="n">
        <v>34391.5</v>
      </c>
      <c r="Z70" s="23" t="n">
        <v>0.836165</v>
      </c>
      <c r="AA70" s="23" t="n">
        <v>0.020435</v>
      </c>
    </row>
  </sheetData>
  <mergeCells count="17">
    <mergeCell ref="R3:T3"/>
    <mergeCell ref="U3:W3"/>
    <mergeCell ref="C3:C4"/>
    <mergeCell ref="B3:B4"/>
    <mergeCell ref="A3:A4"/>
    <mergeCell ref="E3:E4"/>
    <mergeCell ref="A2:AA2"/>
    <mergeCell ref="G3:G4"/>
    <mergeCell ref="F3:F4"/>
    <mergeCell ref="D3:D4"/>
    <mergeCell ref="H3:H4"/>
    <mergeCell ref="L3:N3"/>
    <mergeCell ref="X3:Z3"/>
    <mergeCell ref="I3:K3"/>
    <mergeCell ref="A1:AA1"/>
    <mergeCell ref="AA3:AA4"/>
    <mergeCell ref="O3:Q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 ht="28" customHeight="1">
      <c r="A1" s="1" t="inlineStr">
        <is>
          <t>AUTOMATION CONTROL CHECKS - Manager Pnl</t>
        </is>
      </c>
    </row>
    <row r="2" ht="22" customHeight="1">
      <c r="A2" s="2" t="inlineStr">
        <is>
          <t>Source-to-output reconciliation</t>
        </is>
      </c>
    </row>
    <row r="4">
      <c r="A4" s="3" t="inlineStr">
        <is>
          <t>Check</t>
        </is>
      </c>
      <c r="B4" s="3" t="inlineStr">
        <is>
          <t>Actual</t>
        </is>
      </c>
      <c r="C4" s="3" t="inlineStr">
        <is>
          <t>Expected</t>
        </is>
      </c>
      <c r="D4" s="3" t="inlineStr">
        <is>
          <t>Difference</t>
        </is>
      </c>
      <c r="E4" s="3" t="inlineStr">
        <is>
          <t>Tolerance</t>
        </is>
      </c>
      <c r="F4" s="3" t="inlineStr">
        <is>
          <t>Status</t>
        </is>
      </c>
    </row>
    <row r="5">
      <c r="A5" s="26" t="inlineStr">
        <is>
          <t>Raw Excel files discovered vs successfully processed manager files</t>
        </is>
      </c>
      <c r="B5" s="27" t="n">
        <v>136</v>
      </c>
      <c r="C5" s="27" t="n">
        <v>136</v>
      </c>
      <c r="D5" s="27" t="n">
        <v>0</v>
      </c>
      <c r="E5" s="27" t="n">
        <v>0</v>
      </c>
      <c r="F5" s="28" t="inlineStr">
        <is>
          <t>PASS</t>
        </is>
      </c>
    </row>
    <row r="6">
      <c r="A6" s="26" t="inlineStr">
        <is>
          <t>Source project rows vs cleaned project rows</t>
        </is>
      </c>
      <c r="B6" s="27" t="n">
        <v>7588</v>
      </c>
      <c r="C6" s="27" t="n">
        <v>7588</v>
      </c>
      <c r="D6" s="27" t="n">
        <v>0</v>
      </c>
      <c r="E6" s="27" t="n">
        <v>0</v>
      </c>
      <c r="F6" s="28" t="inlineStr">
        <is>
          <t>PASS</t>
        </is>
      </c>
    </row>
    <row r="7">
      <c r="A7" s="26" t="inlineStr">
        <is>
          <t>High GM% projects in Summary vs manager-level count</t>
        </is>
      </c>
      <c r="B7" s="27" t="n">
        <v>66</v>
      </c>
      <c r="C7" s="27" t="n">
        <v>66</v>
      </c>
      <c r="D7" s="27" t="n">
        <v>0</v>
      </c>
      <c r="E7" s="27" t="n">
        <v>0</v>
      </c>
      <c r="F7" s="28" t="inlineStr">
        <is>
          <t>PASS</t>
        </is>
      </c>
    </row>
    <row r="8">
      <c r="A8" s="26" t="inlineStr">
        <is>
          <t>Processing errors</t>
        </is>
      </c>
      <c r="B8" s="27" t="n">
        <v>0</v>
      </c>
      <c r="C8" s="27" t="n">
        <v>0</v>
      </c>
      <c r="D8" s="27" t="n">
        <v>0</v>
      </c>
      <c r="E8" s="27" t="n">
        <v>0</v>
      </c>
      <c r="F8" s="28" t="inlineStr">
        <is>
          <t>PASS</t>
        </is>
      </c>
    </row>
  </sheetData>
  <autoFilter ref="A4:F8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2026-09-19T10:11:21Z</dcterms:created>
  <dcterms:modified xmlns:dcterms="http://purl.org/dc/terms/" xmlns:xsi="http://www.w3.org/2001/XMLSchema-instance" xsi:type="dcterms:W3CDTF">2026-09-19T10:11:22Z</dcterms:modified>
</cp:coreProperties>
</file>